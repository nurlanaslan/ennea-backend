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Samir\"/>
    </mc:Choice>
  </mc:AlternateContent>
  <xr:revisionPtr revIDLastSave="0" documentId="13_ncr:1_{351CA4B5-1A26-4703-8D04-7D128F38A4B9}" xr6:coauthVersionLast="36" xr6:coauthVersionMax="47" xr10:uidLastSave="{00000000-0000-0000-0000-000000000000}"/>
  <bookViews>
    <workbookView xWindow="0" yWindow="0" windowWidth="23040" windowHeight="8772" xr2:uid="{95E4730B-16BA-419F-9873-042852AD0443}"/>
  </bookViews>
  <sheets>
    <sheet name="BLEND CALCULATION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'BLEND CALCULATION'!$Y$27:$AK$27</definedName>
    <definedName name="AS2DocOpenMode" hidden="1">"AS2DocumentEdit"</definedName>
    <definedName name="AS2NamedRange" hidden="1">3</definedName>
    <definedName name="DataFO">[1]Cracks!$B$506:$B$550</definedName>
    <definedName name="DataGO">[1]Cracks!$D$506:$D$550</definedName>
    <definedName name="DataNap">[1]Cracks!$C$506:$C$550</definedName>
    <definedName name="dtyjctyj" hidden="1">'[2]Capital ratios'!#REF!</definedName>
    <definedName name="EOD">#REF!</definedName>
    <definedName name="FO" localSheetId="0">OFFSET([3]!DataFO,0,-1)</definedName>
    <definedName name="GO" localSheetId="0">OFFSET([3]!DataGO,0,-3)</definedName>
    <definedName name="HistoricalDate" localSheetId="0">#REF!</definedName>
    <definedName name="iceholiday" localSheetId="0">#REF!</definedName>
    <definedName name="Iceholidays1" localSheetId="0">#REF!</definedName>
    <definedName name="k" hidden="1">#REF!</definedName>
    <definedName name="LabelFO" localSheetId="0">OFFSET([3]!DataFO,0,-1)</definedName>
    <definedName name="LabelGO" localSheetId="0">OFFSET([3]!DataGO,0,-3)</definedName>
    <definedName name="LabelNap" localSheetId="0">OFFSET([3]!DataNap,0,-2)</definedName>
    <definedName name="lnlklnknkk" localSheetId="0" hidden="1">'[2]Capital ratios'!#REF!</definedName>
    <definedName name="MyDateBefore" localSheetId="0">#REF!</definedName>
    <definedName name="MyDateToday">[4]Controls!$D$2</definedName>
    <definedName name="MyHistoTable">#REF!</definedName>
    <definedName name="Plattsholdays" localSheetId="0">#REF!</definedName>
    <definedName name="Plattsholidays1" localSheetId="0">#REF!</definedName>
    <definedName name="Plattsholidayssing" localSheetId="0">#REF!</definedName>
    <definedName name="plattsholidaysUS" localSheetId="0">#REF!</definedName>
    <definedName name="_xlnm.Print_Area" localSheetId="0">'BLEND CALCULATION'!$B$19:$AK$76</definedName>
    <definedName name="_xlnm.Print_Titles" localSheetId="0">'BLEND CALCULATION'!$B:$F,'BLEND CALCULATION'!$19:$24</definedName>
    <definedName name="rat" hidden="1">'[2]Capital ratios'!#REF!</definedName>
    <definedName name="SavedDate">#REF!</definedName>
    <definedName name="Temp">#REF!</definedName>
    <definedName name="TextRefCopyRangeCount" hidden="1">36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5" localSheetId="0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13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RangeCount" hidden="1">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N11" i="1"/>
  <c r="M201" i="1" l="1"/>
  <c r="L201" i="1"/>
  <c r="K201" i="1"/>
  <c r="J201" i="1"/>
  <c r="M200" i="1"/>
  <c r="L200" i="1"/>
  <c r="K200" i="1"/>
  <c r="J200" i="1"/>
  <c r="M197" i="1"/>
  <c r="L197" i="1"/>
  <c r="K197" i="1"/>
  <c r="J197" i="1"/>
  <c r="M196" i="1"/>
  <c r="L196" i="1"/>
  <c r="K196" i="1"/>
  <c r="J196" i="1"/>
  <c r="M194" i="1"/>
  <c r="L194" i="1"/>
  <c r="K194" i="1"/>
  <c r="J194" i="1"/>
  <c r="M193" i="1"/>
  <c r="L193" i="1"/>
  <c r="K193" i="1"/>
  <c r="J193" i="1"/>
  <c r="M192" i="1"/>
  <c r="L192" i="1"/>
  <c r="K192" i="1"/>
  <c r="J192" i="1"/>
  <c r="M191" i="1"/>
  <c r="L191" i="1"/>
  <c r="K191" i="1"/>
  <c r="J191" i="1"/>
  <c r="M190" i="1"/>
  <c r="L190" i="1"/>
  <c r="K190" i="1"/>
  <c r="J190" i="1"/>
  <c r="M189" i="1"/>
  <c r="L189" i="1"/>
  <c r="K189" i="1"/>
  <c r="J189" i="1"/>
  <c r="M188" i="1"/>
  <c r="L188" i="1"/>
  <c r="K188" i="1"/>
  <c r="J188" i="1"/>
  <c r="M187" i="1"/>
  <c r="L187" i="1"/>
  <c r="K187" i="1"/>
  <c r="J187" i="1"/>
  <c r="M186" i="1"/>
  <c r="L186" i="1"/>
  <c r="K186" i="1"/>
  <c r="J186" i="1"/>
  <c r="M185" i="1"/>
  <c r="L185" i="1"/>
  <c r="K185" i="1"/>
  <c r="J185" i="1"/>
  <c r="M184" i="1"/>
  <c r="L184" i="1"/>
  <c r="K184" i="1"/>
  <c r="J184" i="1"/>
  <c r="M183" i="1"/>
  <c r="L183" i="1"/>
  <c r="K183" i="1"/>
  <c r="J183" i="1"/>
  <c r="M182" i="1"/>
  <c r="L182" i="1"/>
  <c r="K182" i="1"/>
  <c r="J182" i="1"/>
  <c r="M181" i="1"/>
  <c r="L181" i="1"/>
  <c r="K181" i="1"/>
  <c r="J181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M175" i="1"/>
  <c r="L175" i="1"/>
  <c r="K175" i="1"/>
  <c r="J175" i="1"/>
  <c r="M174" i="1"/>
  <c r="L174" i="1"/>
  <c r="K174" i="1"/>
  <c r="J174" i="1"/>
  <c r="M173" i="1"/>
  <c r="L173" i="1"/>
  <c r="K173" i="1"/>
  <c r="J173" i="1"/>
  <c r="M171" i="1"/>
  <c r="L171" i="1"/>
  <c r="K171" i="1"/>
  <c r="J171" i="1"/>
  <c r="M170" i="1"/>
  <c r="L170" i="1"/>
  <c r="K170" i="1"/>
  <c r="J170" i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M165" i="1"/>
  <c r="L165" i="1"/>
  <c r="K165" i="1"/>
  <c r="J165" i="1"/>
  <c r="O162" i="1"/>
  <c r="M162" i="1"/>
  <c r="L162" i="1"/>
  <c r="K162" i="1"/>
  <c r="J162" i="1"/>
  <c r="O161" i="1"/>
  <c r="M161" i="1"/>
  <c r="L161" i="1"/>
  <c r="K161" i="1"/>
  <c r="J161" i="1"/>
  <c r="O160" i="1"/>
  <c r="M160" i="1"/>
  <c r="L160" i="1"/>
  <c r="K160" i="1"/>
  <c r="J160" i="1"/>
  <c r="O159" i="1"/>
  <c r="M159" i="1"/>
  <c r="L159" i="1"/>
  <c r="K159" i="1"/>
  <c r="J159" i="1"/>
  <c r="O158" i="1"/>
  <c r="M158" i="1"/>
  <c r="L158" i="1"/>
  <c r="K158" i="1"/>
  <c r="J158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Q151" i="1"/>
  <c r="P151" i="1"/>
  <c r="N151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K149" i="1"/>
  <c r="AJ149" i="1"/>
  <c r="AI149" i="1"/>
  <c r="AI22" i="1" s="1"/>
  <c r="AH149" i="1"/>
  <c r="AG149" i="1"/>
  <c r="AF149" i="1"/>
  <c r="AE149" i="1"/>
  <c r="AD149" i="1"/>
  <c r="AC149" i="1"/>
  <c r="AB149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F146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F90" i="1"/>
  <c r="G78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I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K58" i="1"/>
  <c r="J58" i="1"/>
  <c r="F57" i="1"/>
  <c r="F56" i="1"/>
  <c r="G56" i="1" s="1"/>
  <c r="F55" i="1"/>
  <c r="G55" i="1" s="1"/>
  <c r="I54" i="1"/>
  <c r="F54" i="1"/>
  <c r="F53" i="1"/>
  <c r="H53" i="1" s="1"/>
  <c r="I53" i="1" s="1"/>
  <c r="F52" i="1"/>
  <c r="G52" i="1" s="1"/>
  <c r="F51" i="1"/>
  <c r="H51" i="1" s="1"/>
  <c r="I51" i="1" s="1"/>
  <c r="F49" i="1"/>
  <c r="H49" i="1" s="1"/>
  <c r="I49" i="1" s="1"/>
  <c r="F48" i="1"/>
  <c r="G48" i="1" s="1"/>
  <c r="F47" i="1"/>
  <c r="H47" i="1" s="1"/>
  <c r="I47" i="1" s="1"/>
  <c r="F46" i="1"/>
  <c r="G46" i="1" s="1"/>
  <c r="F45" i="1"/>
  <c r="H45" i="1" s="1"/>
  <c r="I45" i="1" s="1"/>
  <c r="F44" i="1"/>
  <c r="H44" i="1" s="1"/>
  <c r="I44" i="1" s="1"/>
  <c r="F43" i="1"/>
  <c r="H43" i="1" s="1"/>
  <c r="I43" i="1" s="1"/>
  <c r="F40" i="1"/>
  <c r="H40" i="1" s="1"/>
  <c r="I40" i="1" s="1"/>
  <c r="F39" i="1"/>
  <c r="G39" i="1" s="1"/>
  <c r="I38" i="1"/>
  <c r="F38" i="1"/>
  <c r="I37" i="1"/>
  <c r="F37" i="1"/>
  <c r="I36" i="1"/>
  <c r="F36" i="1"/>
  <c r="I35" i="1"/>
  <c r="F35" i="1"/>
  <c r="F34" i="1"/>
  <c r="H34" i="1" s="1"/>
  <c r="I34" i="1" s="1"/>
  <c r="AK22" i="1"/>
  <c r="AJ22" i="1"/>
  <c r="AG22" i="1"/>
  <c r="AF22" i="1"/>
  <c r="AC22" i="1"/>
  <c r="AB22" i="1"/>
  <c r="Y22" i="1"/>
  <c r="X22" i="1"/>
  <c r="U22" i="1"/>
  <c r="T22" i="1"/>
  <c r="Q22" i="1"/>
  <c r="P22" i="1"/>
  <c r="AK21" i="1"/>
  <c r="AG21" i="1"/>
  <c r="AC21" i="1"/>
  <c r="Y21" i="1"/>
  <c r="U21" i="1"/>
  <c r="Q21" i="1"/>
  <c r="AK20" i="1"/>
  <c r="AJ20" i="1"/>
  <c r="AJ21" i="1" s="1"/>
  <c r="AI20" i="1"/>
  <c r="AI21" i="1" s="1"/>
  <c r="AH20" i="1"/>
  <c r="AG20" i="1"/>
  <c r="AF20" i="1"/>
  <c r="AF21" i="1" s="1"/>
  <c r="AE20" i="1"/>
  <c r="AE22" i="1" s="1"/>
  <c r="AD20" i="1"/>
  <c r="AC20" i="1"/>
  <c r="AB20" i="1"/>
  <c r="AB21" i="1" s="1"/>
  <c r="AA20" i="1"/>
  <c r="AA22" i="1" s="1"/>
  <c r="Z20" i="1"/>
  <c r="Y20" i="1"/>
  <c r="X20" i="1"/>
  <c r="X21" i="1" s="1"/>
  <c r="W20" i="1"/>
  <c r="W22" i="1" s="1"/>
  <c r="V20" i="1"/>
  <c r="U20" i="1"/>
  <c r="T20" i="1"/>
  <c r="T21" i="1" s="1"/>
  <c r="S20" i="1"/>
  <c r="S21" i="1" s="1"/>
  <c r="R20" i="1"/>
  <c r="Q20" i="1"/>
  <c r="P20" i="1"/>
  <c r="P21" i="1" s="1"/>
  <c r="O20" i="1"/>
  <c r="O21" i="1" s="1"/>
  <c r="N20" i="1"/>
  <c r="M20" i="1"/>
  <c r="M22" i="1" s="1"/>
  <c r="L20" i="1"/>
  <c r="L21" i="1" s="1"/>
  <c r="K20" i="1"/>
  <c r="K21" i="1" s="1"/>
  <c r="J20" i="1"/>
  <c r="F19" i="1"/>
  <c r="AE24" i="1" s="1"/>
  <c r="AB174" i="1" s="1"/>
  <c r="J18" i="1"/>
  <c r="V13" i="1"/>
  <c r="U13" i="1"/>
  <c r="T13" i="1"/>
  <c r="O13" i="1"/>
  <c r="N13" i="1"/>
  <c r="K13" i="1"/>
  <c r="J13" i="1"/>
  <c r="F12" i="1"/>
  <c r="M11" i="1"/>
  <c r="M13" i="1" s="1"/>
  <c r="L11" i="1"/>
  <c r="K11" i="1"/>
  <c r="J11" i="1"/>
  <c r="L10" i="1"/>
  <c r="M7" i="1"/>
  <c r="L7" i="1"/>
  <c r="K7" i="1"/>
  <c r="J7" i="1"/>
  <c r="F7" i="1" s="1"/>
  <c r="S22" i="1" l="1"/>
  <c r="O22" i="1"/>
  <c r="M21" i="1"/>
  <c r="F143" i="1"/>
  <c r="H55" i="1"/>
  <c r="I55" i="1" s="1"/>
  <c r="L22" i="1"/>
  <c r="H56" i="1"/>
  <c r="I56" i="1" s="1"/>
  <c r="R24" i="1"/>
  <c r="R81" i="1" s="1"/>
  <c r="J24" i="1"/>
  <c r="J151" i="1" s="1"/>
  <c r="Z24" i="1"/>
  <c r="Z197" i="1" s="1"/>
  <c r="AH24" i="1"/>
  <c r="AH185" i="1" s="1"/>
  <c r="K22" i="1"/>
  <c r="F148" i="1"/>
  <c r="S24" i="1"/>
  <c r="S81" i="1" s="1"/>
  <c r="AI24" i="1"/>
  <c r="AI200" i="1" s="1"/>
  <c r="F157" i="1"/>
  <c r="V24" i="1"/>
  <c r="V196" i="1" s="1"/>
  <c r="W24" i="1"/>
  <c r="W163" i="1" s="1"/>
  <c r="F144" i="1"/>
  <c r="F154" i="1"/>
  <c r="F32" i="1" s="1"/>
  <c r="G32" i="1" s="1"/>
  <c r="K24" i="1"/>
  <c r="K172" i="1" s="1"/>
  <c r="AA24" i="1"/>
  <c r="AA200" i="1" s="1"/>
  <c r="N24" i="1"/>
  <c r="N191" i="1" s="1"/>
  <c r="AD24" i="1"/>
  <c r="AF190" i="1" s="1"/>
  <c r="O24" i="1"/>
  <c r="F156" i="1"/>
  <c r="F155" i="1"/>
  <c r="F33" i="1" s="1"/>
  <c r="G33" i="1" s="1"/>
  <c r="L13" i="1"/>
  <c r="F11" i="1"/>
  <c r="R21" i="1"/>
  <c r="R22" i="1"/>
  <c r="AD22" i="1"/>
  <c r="AD21" i="1"/>
  <c r="F20" i="1"/>
  <c r="F28" i="1" s="1"/>
  <c r="J22" i="1"/>
  <c r="J21" i="1"/>
  <c r="N22" i="1"/>
  <c r="N21" i="1"/>
  <c r="V22" i="1"/>
  <c r="V21" i="1"/>
  <c r="Z22" i="1"/>
  <c r="Z21" i="1"/>
  <c r="AH22" i="1"/>
  <c r="AH21" i="1"/>
  <c r="F13" i="1"/>
  <c r="AB194" i="1"/>
  <c r="AB190" i="1"/>
  <c r="AB202" i="1"/>
  <c r="AB198" i="1"/>
  <c r="AB193" i="1"/>
  <c r="AB197" i="1"/>
  <c r="AB187" i="1"/>
  <c r="AB183" i="1"/>
  <c r="AB196" i="1"/>
  <c r="AB191" i="1"/>
  <c r="AB186" i="1"/>
  <c r="AB201" i="1"/>
  <c r="AB192" i="1"/>
  <c r="AB177" i="1"/>
  <c r="AB173" i="1"/>
  <c r="AB169" i="1"/>
  <c r="AB165" i="1"/>
  <c r="AB161" i="1"/>
  <c r="AB188" i="1"/>
  <c r="AB176" i="1"/>
  <c r="AB172" i="1"/>
  <c r="AB168" i="1"/>
  <c r="AB164" i="1"/>
  <c r="AB181" i="1"/>
  <c r="AB167" i="1"/>
  <c r="AB163" i="1"/>
  <c r="AB160" i="1"/>
  <c r="AB152" i="1"/>
  <c r="AB184" i="1"/>
  <c r="AB178" i="1"/>
  <c r="AB166" i="1"/>
  <c r="AB159" i="1"/>
  <c r="AB189" i="1"/>
  <c r="AB185" i="1"/>
  <c r="AB175" i="1"/>
  <c r="AB171" i="1"/>
  <c r="G34" i="1"/>
  <c r="G40" i="1"/>
  <c r="G57" i="1" s="1"/>
  <c r="G43" i="1"/>
  <c r="G44" i="1"/>
  <c r="G45" i="1"/>
  <c r="G47" i="1"/>
  <c r="G49" i="1"/>
  <c r="G51" i="1"/>
  <c r="G53" i="1"/>
  <c r="W21" i="1"/>
  <c r="AA21" i="1"/>
  <c r="AE21" i="1"/>
  <c r="L24" i="1"/>
  <c r="L151" i="1" s="1"/>
  <c r="P24" i="1"/>
  <c r="T24" i="1"/>
  <c r="X24" i="1"/>
  <c r="X199" i="1" s="1"/>
  <c r="AB24" i="1"/>
  <c r="AF24" i="1"/>
  <c r="AE199" i="1" s="1"/>
  <c r="AJ24" i="1"/>
  <c r="AJ199" i="1" s="1"/>
  <c r="H39" i="1"/>
  <c r="H46" i="1"/>
  <c r="I46" i="1" s="1"/>
  <c r="H48" i="1"/>
  <c r="I48" i="1" s="1"/>
  <c r="H52" i="1"/>
  <c r="I52" i="1" s="1"/>
  <c r="AB199" i="1"/>
  <c r="AB153" i="1"/>
  <c r="AB182" i="1"/>
  <c r="AB200" i="1"/>
  <c r="K202" i="1"/>
  <c r="S197" i="1"/>
  <c r="S152" i="1"/>
  <c r="AB158" i="1"/>
  <c r="AB162" i="1"/>
  <c r="M24" i="1"/>
  <c r="M151" i="1" s="1"/>
  <c r="Q24" i="1"/>
  <c r="U24" i="1"/>
  <c r="Y24" i="1"/>
  <c r="Y199" i="1" s="1"/>
  <c r="AC24" i="1"/>
  <c r="AG24" i="1"/>
  <c r="AK24" i="1"/>
  <c r="AK199" i="1" s="1"/>
  <c r="AB170" i="1"/>
  <c r="AA185" i="1" l="1"/>
  <c r="P199" i="1"/>
  <c r="P81" i="1"/>
  <c r="K198" i="1"/>
  <c r="Q199" i="1"/>
  <c r="Q81" i="1"/>
  <c r="T199" i="1"/>
  <c r="T81" i="1"/>
  <c r="S184" i="1"/>
  <c r="S151" i="1"/>
  <c r="K199" i="1"/>
  <c r="AA182" i="1"/>
  <c r="AA184" i="1"/>
  <c r="AA196" i="1"/>
  <c r="R185" i="1"/>
  <c r="R151" i="1"/>
  <c r="K164" i="1"/>
  <c r="O167" i="1"/>
  <c r="O151" i="1"/>
  <c r="S201" i="1"/>
  <c r="AI170" i="1"/>
  <c r="S172" i="1"/>
  <c r="AA168" i="1"/>
  <c r="S166" i="1"/>
  <c r="AA172" i="1"/>
  <c r="S189" i="1"/>
  <c r="R181" i="1"/>
  <c r="AI174" i="1"/>
  <c r="AA183" i="1"/>
  <c r="S181" i="1"/>
  <c r="S170" i="1"/>
  <c r="AA163" i="1"/>
  <c r="AA187" i="1"/>
  <c r="S185" i="1"/>
  <c r="S183" i="1"/>
  <c r="AA186" i="1"/>
  <c r="S164" i="1"/>
  <c r="S169" i="1"/>
  <c r="S188" i="1"/>
  <c r="S199" i="1"/>
  <c r="AA169" i="1"/>
  <c r="S186" i="1"/>
  <c r="S177" i="1"/>
  <c r="S202" i="1"/>
  <c r="AI153" i="1"/>
  <c r="AA173" i="1"/>
  <c r="S198" i="1"/>
  <c r="S162" i="1"/>
  <c r="S191" i="1"/>
  <c r="AA175" i="1"/>
  <c r="AA164" i="1"/>
  <c r="AA192" i="1"/>
  <c r="S176" i="1"/>
  <c r="S153" i="1"/>
  <c r="S178" i="1"/>
  <c r="S196" i="1"/>
  <c r="AI193" i="1"/>
  <c r="AA176" i="1"/>
  <c r="AA174" i="1"/>
  <c r="S182" i="1"/>
  <c r="S168" i="1"/>
  <c r="S193" i="1"/>
  <c r="S200" i="1"/>
  <c r="Z170" i="1"/>
  <c r="N201" i="1"/>
  <c r="N81" i="1"/>
  <c r="AA152" i="1"/>
  <c r="AA170" i="1"/>
  <c r="W192" i="1"/>
  <c r="W199" i="1"/>
  <c r="AI186" i="1"/>
  <c r="AA167" i="1"/>
  <c r="AA201" i="1"/>
  <c r="AA188" i="1"/>
  <c r="K152" i="1"/>
  <c r="AA189" i="1"/>
  <c r="AA153" i="1"/>
  <c r="AA162" i="1"/>
  <c r="AA190" i="1"/>
  <c r="K163" i="1"/>
  <c r="S171" i="1"/>
  <c r="AA202" i="1"/>
  <c r="K153" i="1"/>
  <c r="AA159" i="1"/>
  <c r="N173" i="1"/>
  <c r="AI192" i="1"/>
  <c r="AI183" i="1"/>
  <c r="N158" i="1"/>
  <c r="F158" i="1" s="1"/>
  <c r="AI171" i="1"/>
  <c r="AI168" i="1"/>
  <c r="AI172" i="1"/>
  <c r="AA193" i="1"/>
  <c r="AA165" i="1"/>
  <c r="AA178" i="1"/>
  <c r="AA194" i="1"/>
  <c r="S167" i="1"/>
  <c r="S173" i="1"/>
  <c r="S187" i="1"/>
  <c r="AI166" i="1"/>
  <c r="N161" i="1"/>
  <c r="N174" i="1"/>
  <c r="W201" i="1"/>
  <c r="W196" i="1"/>
  <c r="W200" i="1"/>
  <c r="Z159" i="1"/>
  <c r="W160" i="1"/>
  <c r="Z168" i="1"/>
  <c r="W165" i="1"/>
  <c r="Z166" i="1"/>
  <c r="AF169" i="1"/>
  <c r="O174" i="1"/>
  <c r="AI188" i="1"/>
  <c r="N184" i="1"/>
  <c r="AI201" i="1"/>
  <c r="AI164" i="1"/>
  <c r="AI161" i="1"/>
  <c r="AI194" i="1"/>
  <c r="AA181" i="1"/>
  <c r="AA177" i="1"/>
  <c r="AA198" i="1"/>
  <c r="AA191" i="1"/>
  <c r="S160" i="1"/>
  <c r="S165" i="1"/>
  <c r="S190" i="1"/>
  <c r="S194" i="1"/>
  <c r="AA199" i="1"/>
  <c r="W171" i="1"/>
  <c r="N198" i="1"/>
  <c r="Z190" i="1"/>
  <c r="AI198" i="1"/>
  <c r="AI176" i="1"/>
  <c r="AI177" i="1"/>
  <c r="AI191" i="1"/>
  <c r="W161" i="1"/>
  <c r="N168" i="1"/>
  <c r="R173" i="1"/>
  <c r="Z171" i="1"/>
  <c r="Z175" i="1"/>
  <c r="AI167" i="1"/>
  <c r="AI165" i="1"/>
  <c r="AI197" i="1"/>
  <c r="W166" i="1"/>
  <c r="N171" i="1"/>
  <c r="Z164" i="1"/>
  <c r="Z202" i="1"/>
  <c r="S159" i="1"/>
  <c r="AI185" i="1"/>
  <c r="AI173" i="1"/>
  <c r="AI184" i="1"/>
  <c r="AA160" i="1"/>
  <c r="AA161" i="1"/>
  <c r="AA166" i="1"/>
  <c r="AA197" i="1"/>
  <c r="S163" i="1"/>
  <c r="S161" i="1"/>
  <c r="S174" i="1"/>
  <c r="W158" i="1"/>
  <c r="W170" i="1"/>
  <c r="N160" i="1"/>
  <c r="F160" i="1" s="1"/>
  <c r="N175" i="1"/>
  <c r="Z161" i="1"/>
  <c r="Z201" i="1"/>
  <c r="R174" i="1"/>
  <c r="AF187" i="1"/>
  <c r="R178" i="1"/>
  <c r="R186" i="1"/>
  <c r="R183" i="1"/>
  <c r="N182" i="1"/>
  <c r="N185" i="1"/>
  <c r="R164" i="1"/>
  <c r="R200" i="1"/>
  <c r="N170" i="1"/>
  <c r="R165" i="1"/>
  <c r="R192" i="1"/>
  <c r="R169" i="1"/>
  <c r="AF168" i="1"/>
  <c r="N200" i="1"/>
  <c r="F150" i="1"/>
  <c r="AH176" i="1"/>
  <c r="AH182" i="1"/>
  <c r="AH166" i="1"/>
  <c r="AH175" i="1"/>
  <c r="AF178" i="1"/>
  <c r="AH191" i="1"/>
  <c r="AF174" i="1"/>
  <c r="AH190" i="1"/>
  <c r="AH196" i="1"/>
  <c r="W159" i="1"/>
  <c r="AI169" i="1"/>
  <c r="AI178" i="1"/>
  <c r="AI202" i="1"/>
  <c r="Z199" i="1"/>
  <c r="W175" i="1"/>
  <c r="W169" i="1"/>
  <c r="W174" i="1"/>
  <c r="W184" i="1"/>
  <c r="N183" i="1"/>
  <c r="N165" i="1"/>
  <c r="N178" i="1"/>
  <c r="N181" i="1"/>
  <c r="N194" i="1"/>
  <c r="AH177" i="1"/>
  <c r="AH198" i="1"/>
  <c r="AH174" i="1"/>
  <c r="AH189" i="1"/>
  <c r="AH200" i="1"/>
  <c r="Z193" i="1"/>
  <c r="Z172" i="1"/>
  <c r="Z174" i="1"/>
  <c r="Z181" i="1"/>
  <c r="Z185" i="1"/>
  <c r="AH183" i="1"/>
  <c r="W167" i="1"/>
  <c r="N199" i="1"/>
  <c r="W182" i="1"/>
  <c r="W173" i="1"/>
  <c r="W178" i="1"/>
  <c r="W188" i="1"/>
  <c r="N169" i="1"/>
  <c r="N177" i="1"/>
  <c r="N186" i="1"/>
  <c r="N187" i="1"/>
  <c r="N196" i="1"/>
  <c r="AH159" i="1"/>
  <c r="AH194" i="1"/>
  <c r="AH158" i="1"/>
  <c r="AH178" i="1"/>
  <c r="AH184" i="1"/>
  <c r="AH192" i="1"/>
  <c r="Z152" i="1"/>
  <c r="Z186" i="1"/>
  <c r="Z178" i="1"/>
  <c r="Z183" i="1"/>
  <c r="Z189" i="1"/>
  <c r="W177" i="1"/>
  <c r="W193" i="1"/>
  <c r="AH160" i="1"/>
  <c r="AH169" i="1"/>
  <c r="AH188" i="1"/>
  <c r="Z165" i="1"/>
  <c r="Z182" i="1"/>
  <c r="Z196" i="1"/>
  <c r="AI159" i="1"/>
  <c r="AI152" i="1"/>
  <c r="AI182" i="1"/>
  <c r="AI181" i="1"/>
  <c r="AI187" i="1"/>
  <c r="AI196" i="1"/>
  <c r="W190" i="1"/>
  <c r="AI199" i="1"/>
  <c r="W168" i="1"/>
  <c r="W164" i="1"/>
  <c r="W185" i="1"/>
  <c r="W189" i="1"/>
  <c r="W198" i="1"/>
  <c r="N159" i="1"/>
  <c r="F159" i="1" s="1"/>
  <c r="N153" i="1"/>
  <c r="N190" i="1"/>
  <c r="N202" i="1"/>
  <c r="N188" i="1"/>
  <c r="N192" i="1"/>
  <c r="AH164" i="1"/>
  <c r="AH161" i="1"/>
  <c r="AH173" i="1"/>
  <c r="AH163" i="1"/>
  <c r="AH202" i="1"/>
  <c r="AH201" i="1"/>
  <c r="Z177" i="1"/>
  <c r="Z169" i="1"/>
  <c r="Z198" i="1"/>
  <c r="Z194" i="1"/>
  <c r="Z200" i="1"/>
  <c r="AF158" i="1"/>
  <c r="AH199" i="1"/>
  <c r="AH165" i="1"/>
  <c r="W153" i="1"/>
  <c r="W186" i="1"/>
  <c r="AH153" i="1"/>
  <c r="AH193" i="1"/>
  <c r="AH197" i="1"/>
  <c r="Z158" i="1"/>
  <c r="Z191" i="1"/>
  <c r="W181" i="1"/>
  <c r="AI163" i="1"/>
  <c r="AI190" i="1"/>
  <c r="AI162" i="1"/>
  <c r="AI189" i="1"/>
  <c r="W172" i="1"/>
  <c r="W176" i="1"/>
  <c r="W197" i="1"/>
  <c r="W183" i="1"/>
  <c r="W194" i="1"/>
  <c r="N172" i="1"/>
  <c r="N164" i="1"/>
  <c r="N162" i="1"/>
  <c r="N163" i="1"/>
  <c r="N189" i="1"/>
  <c r="N197" i="1"/>
  <c r="AH186" i="1"/>
  <c r="AH168" i="1"/>
  <c r="AH187" i="1"/>
  <c r="AH167" i="1"/>
  <c r="AH181" i="1"/>
  <c r="Z160" i="1"/>
  <c r="Z187" i="1"/>
  <c r="Z173" i="1"/>
  <c r="Z163" i="1"/>
  <c r="Z184" i="1"/>
  <c r="Z192" i="1"/>
  <c r="AH170" i="1"/>
  <c r="W152" i="1"/>
  <c r="W202" i="1"/>
  <c r="W162" i="1"/>
  <c r="W187" i="1"/>
  <c r="W191" i="1"/>
  <c r="N152" i="1"/>
  <c r="N176" i="1"/>
  <c r="N166" i="1"/>
  <c r="N167" i="1"/>
  <c r="N193" i="1"/>
  <c r="AH152" i="1"/>
  <c r="AH172" i="1"/>
  <c r="AH162" i="1"/>
  <c r="AH171" i="1"/>
  <c r="Z176" i="1"/>
  <c r="Z153" i="1"/>
  <c r="Z162" i="1"/>
  <c r="Z167" i="1"/>
  <c r="Z188" i="1"/>
  <c r="AF152" i="1"/>
  <c r="AF173" i="1"/>
  <c r="O172" i="1"/>
  <c r="R182" i="1"/>
  <c r="R172" i="1"/>
  <c r="R166" i="1"/>
  <c r="R171" i="1"/>
  <c r="R191" i="1"/>
  <c r="AF181" i="1"/>
  <c r="AF162" i="1"/>
  <c r="AF197" i="1"/>
  <c r="AF161" i="1"/>
  <c r="AF200" i="1"/>
  <c r="AF194" i="1"/>
  <c r="AF192" i="1"/>
  <c r="O165" i="1"/>
  <c r="R152" i="1"/>
  <c r="R158" i="1"/>
  <c r="R170" i="1"/>
  <c r="R175" i="1"/>
  <c r="R196" i="1"/>
  <c r="AF188" i="1"/>
  <c r="AF170" i="1"/>
  <c r="AF164" i="1"/>
  <c r="AF165" i="1"/>
  <c r="AF183" i="1"/>
  <c r="V189" i="1"/>
  <c r="AF172" i="1"/>
  <c r="O200" i="1"/>
  <c r="R160" i="1"/>
  <c r="R177" i="1"/>
  <c r="R187" i="1"/>
  <c r="R190" i="1"/>
  <c r="R184" i="1"/>
  <c r="R197" i="1"/>
  <c r="AF166" i="1"/>
  <c r="AF160" i="1"/>
  <c r="AF176" i="1"/>
  <c r="AF177" i="1"/>
  <c r="AF201" i="1"/>
  <c r="O184" i="1"/>
  <c r="R159" i="1"/>
  <c r="R153" i="1"/>
  <c r="R189" i="1"/>
  <c r="R193" i="1"/>
  <c r="R188" i="1"/>
  <c r="R201" i="1"/>
  <c r="AF163" i="1"/>
  <c r="AF171" i="1"/>
  <c r="AF184" i="1"/>
  <c r="AF182" i="1"/>
  <c r="AF193" i="1"/>
  <c r="V199" i="1"/>
  <c r="R199" i="1"/>
  <c r="R198" i="1"/>
  <c r="R161" i="1"/>
  <c r="R194" i="1"/>
  <c r="R163" i="1"/>
  <c r="R202" i="1"/>
  <c r="J198" i="1"/>
  <c r="AF167" i="1"/>
  <c r="AF175" i="1"/>
  <c r="AF189" i="1"/>
  <c r="AF185" i="1"/>
  <c r="AF198" i="1"/>
  <c r="AF199" i="1"/>
  <c r="R176" i="1"/>
  <c r="R168" i="1"/>
  <c r="R162" i="1"/>
  <c r="R167" i="1"/>
  <c r="AF153" i="1"/>
  <c r="AF159" i="1"/>
  <c r="AF191" i="1"/>
  <c r="AF196" i="1"/>
  <c r="AF186" i="1"/>
  <c r="AF202" i="1"/>
  <c r="V172" i="1"/>
  <c r="O199" i="1"/>
  <c r="O197" i="1"/>
  <c r="O181" i="1"/>
  <c r="O164" i="1"/>
  <c r="O166" i="1"/>
  <c r="O192" i="1"/>
  <c r="O191" i="1"/>
  <c r="J153" i="1"/>
  <c r="V161" i="1"/>
  <c r="V202" i="1"/>
  <c r="V178" i="1"/>
  <c r="V187" i="1"/>
  <c r="V197" i="1"/>
  <c r="V165" i="1"/>
  <c r="O163" i="1"/>
  <c r="O168" i="1"/>
  <c r="O176" i="1"/>
  <c r="O170" i="1"/>
  <c r="O201" i="1"/>
  <c r="O196" i="1"/>
  <c r="J172" i="1"/>
  <c r="V152" i="1"/>
  <c r="V158" i="1"/>
  <c r="V186" i="1"/>
  <c r="V188" i="1"/>
  <c r="V201" i="1"/>
  <c r="O183" i="1"/>
  <c r="O169" i="1"/>
  <c r="O178" i="1"/>
  <c r="O188" i="1"/>
  <c r="J199" i="1"/>
  <c r="J163" i="1"/>
  <c r="V159" i="1"/>
  <c r="V177" i="1"/>
  <c r="V163" i="1"/>
  <c r="V193" i="1"/>
  <c r="O152" i="1"/>
  <c r="O173" i="1"/>
  <c r="O186" i="1"/>
  <c r="O189" i="1"/>
  <c r="J202" i="1"/>
  <c r="V169" i="1"/>
  <c r="V183" i="1"/>
  <c r="V167" i="1"/>
  <c r="V198" i="1"/>
  <c r="O81" i="1"/>
  <c r="O171" i="1"/>
  <c r="O177" i="1"/>
  <c r="O202" i="1"/>
  <c r="O193" i="1"/>
  <c r="J164" i="1"/>
  <c r="V173" i="1"/>
  <c r="V162" i="1"/>
  <c r="V171" i="1"/>
  <c r="V190" i="1"/>
  <c r="O175" i="1"/>
  <c r="O182" i="1"/>
  <c r="O187" i="1"/>
  <c r="O198" i="1"/>
  <c r="J81" i="1"/>
  <c r="V153" i="1"/>
  <c r="V166" i="1"/>
  <c r="V181" i="1"/>
  <c r="V200" i="1"/>
  <c r="V191" i="1"/>
  <c r="O153" i="1"/>
  <c r="O185" i="1"/>
  <c r="O190" i="1"/>
  <c r="O194" i="1"/>
  <c r="J152" i="1"/>
  <c r="V160" i="1"/>
  <c r="V164" i="1"/>
  <c r="V174" i="1"/>
  <c r="V182" i="1"/>
  <c r="V192" i="1"/>
  <c r="V194" i="1"/>
  <c r="K81" i="1"/>
  <c r="K151" i="1"/>
  <c r="V168" i="1"/>
  <c r="V176" i="1"/>
  <c r="V170" i="1"/>
  <c r="V175" i="1"/>
  <c r="V185" i="1"/>
  <c r="F21" i="1"/>
  <c r="F147" i="1"/>
  <c r="F145" i="1"/>
  <c r="F22" i="1" s="1"/>
  <c r="H28" i="1"/>
  <c r="I28" i="1" s="1"/>
  <c r="G28" i="1"/>
  <c r="H33" i="1"/>
  <c r="I33" i="1" s="1"/>
  <c r="V184" i="1"/>
  <c r="AA171" i="1"/>
  <c r="AA158" i="1"/>
  <c r="AI160" i="1"/>
  <c r="AI175" i="1"/>
  <c r="AI158" i="1"/>
  <c r="H32" i="1"/>
  <c r="I32" i="1" s="1"/>
  <c r="S175" i="1"/>
  <c r="S192" i="1"/>
  <c r="S158" i="1"/>
  <c r="AG202" i="1"/>
  <c r="AG198" i="1"/>
  <c r="AG193" i="1"/>
  <c r="AG189" i="1"/>
  <c r="AG201" i="1"/>
  <c r="AG197" i="1"/>
  <c r="AG192" i="1"/>
  <c r="AG200" i="1"/>
  <c r="AG190" i="1"/>
  <c r="AG186" i="1"/>
  <c r="AG182" i="1"/>
  <c r="AG191" i="1"/>
  <c r="AG185" i="1"/>
  <c r="AG196" i="1"/>
  <c r="AG184" i="1"/>
  <c r="AG176" i="1"/>
  <c r="AG172" i="1"/>
  <c r="AG168" i="1"/>
  <c r="AG164" i="1"/>
  <c r="AG160" i="1"/>
  <c r="AG183" i="1"/>
  <c r="AG175" i="1"/>
  <c r="AG171" i="1"/>
  <c r="AG167" i="1"/>
  <c r="AG163" i="1"/>
  <c r="AG174" i="1"/>
  <c r="AG170" i="1"/>
  <c r="AG162" i="1"/>
  <c r="AG159" i="1"/>
  <c r="AG187" i="1"/>
  <c r="AG173" i="1"/>
  <c r="AG169" i="1"/>
  <c r="AG158" i="1"/>
  <c r="AG188" i="1"/>
  <c r="AG181" i="1"/>
  <c r="AG178" i="1"/>
  <c r="AG166" i="1"/>
  <c r="AG161" i="1"/>
  <c r="AG194" i="1"/>
  <c r="AG177" i="1"/>
  <c r="AG152" i="1"/>
  <c r="AG153" i="1"/>
  <c r="AG165" i="1"/>
  <c r="AD201" i="1"/>
  <c r="AD197" i="1"/>
  <c r="AD192" i="1"/>
  <c r="AD200" i="1"/>
  <c r="AD196" i="1"/>
  <c r="AD194" i="1"/>
  <c r="AD185" i="1"/>
  <c r="AD181" i="1"/>
  <c r="AD198" i="1"/>
  <c r="AD193" i="1"/>
  <c r="AD189" i="1"/>
  <c r="AD188" i="1"/>
  <c r="AD184" i="1"/>
  <c r="AD190" i="1"/>
  <c r="AD187" i="1"/>
  <c r="AD175" i="1"/>
  <c r="AD171" i="1"/>
  <c r="AD167" i="1"/>
  <c r="AD163" i="1"/>
  <c r="AD202" i="1"/>
  <c r="AD186" i="1"/>
  <c r="AD178" i="1"/>
  <c r="AD174" i="1"/>
  <c r="AD170" i="1"/>
  <c r="AD166" i="1"/>
  <c r="AD162" i="1"/>
  <c r="AD177" i="1"/>
  <c r="AD165" i="1"/>
  <c r="AD158" i="1"/>
  <c r="AD191" i="1"/>
  <c r="AD176" i="1"/>
  <c r="AD164" i="1"/>
  <c r="AD153" i="1"/>
  <c r="AD183" i="1"/>
  <c r="AD182" i="1"/>
  <c r="AD173" i="1"/>
  <c r="AD169" i="1"/>
  <c r="AD152" i="1"/>
  <c r="AD160" i="1"/>
  <c r="AD172" i="1"/>
  <c r="AD159" i="1"/>
  <c r="AD168" i="1"/>
  <c r="AD161" i="1"/>
  <c r="M202" i="1"/>
  <c r="M198" i="1"/>
  <c r="M172" i="1"/>
  <c r="M164" i="1"/>
  <c r="M163" i="1"/>
  <c r="M153" i="1"/>
  <c r="M152" i="1"/>
  <c r="M81" i="1"/>
  <c r="X194" i="1"/>
  <c r="X190" i="1"/>
  <c r="X202" i="1"/>
  <c r="X198" i="1"/>
  <c r="X193" i="1"/>
  <c r="X201" i="1"/>
  <c r="X192" i="1"/>
  <c r="X191" i="1"/>
  <c r="X187" i="1"/>
  <c r="X183" i="1"/>
  <c r="X200" i="1"/>
  <c r="X189" i="1"/>
  <c r="X186" i="1"/>
  <c r="X197" i="1"/>
  <c r="X185" i="1"/>
  <c r="X177" i="1"/>
  <c r="X173" i="1"/>
  <c r="X169" i="1"/>
  <c r="X165" i="1"/>
  <c r="X161" i="1"/>
  <c r="X184" i="1"/>
  <c r="X176" i="1"/>
  <c r="X172" i="1"/>
  <c r="X168" i="1"/>
  <c r="X164" i="1"/>
  <c r="X182" i="1"/>
  <c r="X175" i="1"/>
  <c r="X171" i="1"/>
  <c r="X160" i="1"/>
  <c r="X152" i="1"/>
  <c r="X196" i="1"/>
  <c r="X188" i="1"/>
  <c r="X174" i="1"/>
  <c r="X170" i="1"/>
  <c r="X162" i="1"/>
  <c r="X159" i="1"/>
  <c r="X181" i="1"/>
  <c r="X167" i="1"/>
  <c r="X163" i="1"/>
  <c r="X158" i="1"/>
  <c r="X153" i="1"/>
  <c r="X166" i="1"/>
  <c r="X178" i="1"/>
  <c r="Q202" i="1"/>
  <c r="Q198" i="1"/>
  <c r="Q193" i="1"/>
  <c r="Q189" i="1"/>
  <c r="Q201" i="1"/>
  <c r="Q197" i="1"/>
  <c r="Q192" i="1"/>
  <c r="Q200" i="1"/>
  <c r="Q190" i="1"/>
  <c r="Q186" i="1"/>
  <c r="Q182" i="1"/>
  <c r="Q191" i="1"/>
  <c r="Q185" i="1"/>
  <c r="Q196" i="1"/>
  <c r="Q184" i="1"/>
  <c r="Q176" i="1"/>
  <c r="Q172" i="1"/>
  <c r="Q168" i="1"/>
  <c r="Q164" i="1"/>
  <c r="Q183" i="1"/>
  <c r="Q181" i="1"/>
  <c r="Q175" i="1"/>
  <c r="Q171" i="1"/>
  <c r="Q167" i="1"/>
  <c r="Q163" i="1"/>
  <c r="Q174" i="1"/>
  <c r="Q170" i="1"/>
  <c r="Q162" i="1"/>
  <c r="Q159" i="1"/>
  <c r="Q194" i="1"/>
  <c r="Q187" i="1"/>
  <c r="Q173" i="1"/>
  <c r="Q169" i="1"/>
  <c r="Q158" i="1"/>
  <c r="Q188" i="1"/>
  <c r="Q178" i="1"/>
  <c r="Q166" i="1"/>
  <c r="Q161" i="1"/>
  <c r="Q177" i="1"/>
  <c r="Q165" i="1"/>
  <c r="Q152" i="1"/>
  <c r="Q160" i="1"/>
  <c r="Q153" i="1"/>
  <c r="L202" i="1"/>
  <c r="L198" i="1"/>
  <c r="L172" i="1"/>
  <c r="L164" i="1"/>
  <c r="L163" i="1"/>
  <c r="L152" i="1"/>
  <c r="L81" i="1"/>
  <c r="L153" i="1"/>
  <c r="AG199" i="1"/>
  <c r="M199" i="1"/>
  <c r="Y202" i="1"/>
  <c r="Y198" i="1"/>
  <c r="Y193" i="1"/>
  <c r="Y189" i="1"/>
  <c r="Y201" i="1"/>
  <c r="Y197" i="1"/>
  <c r="Y192" i="1"/>
  <c r="Y200" i="1"/>
  <c r="Y186" i="1"/>
  <c r="Y182" i="1"/>
  <c r="Y185" i="1"/>
  <c r="Y184" i="1"/>
  <c r="Y176" i="1"/>
  <c r="Y172" i="1"/>
  <c r="Y168" i="1"/>
  <c r="Y164" i="1"/>
  <c r="Y194" i="1"/>
  <c r="Y191" i="1"/>
  <c r="Y183" i="1"/>
  <c r="Y181" i="1"/>
  <c r="Y175" i="1"/>
  <c r="Y171" i="1"/>
  <c r="Y167" i="1"/>
  <c r="Y163" i="1"/>
  <c r="Y196" i="1"/>
  <c r="Y188" i="1"/>
  <c r="Y174" i="1"/>
  <c r="Y170" i="1"/>
  <c r="Y162" i="1"/>
  <c r="Y159" i="1"/>
  <c r="Y173" i="1"/>
  <c r="Y169" i="1"/>
  <c r="Y158" i="1"/>
  <c r="Y190" i="1"/>
  <c r="Y178" i="1"/>
  <c r="Y166" i="1"/>
  <c r="Y161" i="1"/>
  <c r="Y165" i="1"/>
  <c r="Y177" i="1"/>
  <c r="Y187" i="1"/>
  <c r="Y152" i="1"/>
  <c r="Y160" i="1"/>
  <c r="Y153" i="1"/>
  <c r="G24" i="1"/>
  <c r="AD199" i="1"/>
  <c r="L199" i="1"/>
  <c r="AJ194" i="1"/>
  <c r="AJ190" i="1"/>
  <c r="AJ202" i="1"/>
  <c r="AJ198" i="1"/>
  <c r="AJ193" i="1"/>
  <c r="AJ197" i="1"/>
  <c r="AJ189" i="1"/>
  <c r="AJ187" i="1"/>
  <c r="AJ183" i="1"/>
  <c r="AJ196" i="1"/>
  <c r="AJ186" i="1"/>
  <c r="AJ181" i="1"/>
  <c r="AJ177" i="1"/>
  <c r="AJ173" i="1"/>
  <c r="AJ169" i="1"/>
  <c r="AJ165" i="1"/>
  <c r="AJ161" i="1"/>
  <c r="AJ200" i="1"/>
  <c r="AJ191" i="1"/>
  <c r="AJ188" i="1"/>
  <c r="AJ182" i="1"/>
  <c r="AJ176" i="1"/>
  <c r="AJ172" i="1"/>
  <c r="AJ168" i="1"/>
  <c r="AJ164" i="1"/>
  <c r="AJ160" i="1"/>
  <c r="AJ192" i="1"/>
  <c r="AJ185" i="1"/>
  <c r="AJ167" i="1"/>
  <c r="AJ163" i="1"/>
  <c r="AJ152" i="1"/>
  <c r="AJ178" i="1"/>
  <c r="AJ166" i="1"/>
  <c r="AJ159" i="1"/>
  <c r="AJ201" i="1"/>
  <c r="AJ175" i="1"/>
  <c r="AJ171" i="1"/>
  <c r="AJ184" i="1"/>
  <c r="AJ162" i="1"/>
  <c r="AJ153" i="1"/>
  <c r="AJ174" i="1"/>
  <c r="AJ158" i="1"/>
  <c r="AJ170" i="1"/>
  <c r="T194" i="1"/>
  <c r="T190" i="1"/>
  <c r="T202" i="1"/>
  <c r="T198" i="1"/>
  <c r="T193" i="1"/>
  <c r="T197" i="1"/>
  <c r="T189" i="1"/>
  <c r="T187" i="1"/>
  <c r="T183" i="1"/>
  <c r="T196" i="1"/>
  <c r="T186" i="1"/>
  <c r="T177" i="1"/>
  <c r="T173" i="1"/>
  <c r="T169" i="1"/>
  <c r="T165" i="1"/>
  <c r="T161" i="1"/>
  <c r="T200" i="1"/>
  <c r="T188" i="1"/>
  <c r="T182" i="1"/>
  <c r="T176" i="1"/>
  <c r="T172" i="1"/>
  <c r="T168" i="1"/>
  <c r="T164" i="1"/>
  <c r="T201" i="1"/>
  <c r="T185" i="1"/>
  <c r="T181" i="1"/>
  <c r="T167" i="1"/>
  <c r="T163" i="1"/>
  <c r="T160" i="1"/>
  <c r="T152" i="1"/>
  <c r="T178" i="1"/>
  <c r="T166" i="1"/>
  <c r="T159" i="1"/>
  <c r="T192" i="1"/>
  <c r="T175" i="1"/>
  <c r="T171" i="1"/>
  <c r="T191" i="1"/>
  <c r="T174" i="1"/>
  <c r="T184" i="1"/>
  <c r="T162" i="1"/>
  <c r="T170" i="1"/>
  <c r="T153" i="1"/>
  <c r="T158" i="1"/>
  <c r="AC202" i="1"/>
  <c r="AC198" i="1"/>
  <c r="AC193" i="1"/>
  <c r="AC189" i="1"/>
  <c r="AC201" i="1"/>
  <c r="AC197" i="1"/>
  <c r="AC192" i="1"/>
  <c r="AC196" i="1"/>
  <c r="AC191" i="1"/>
  <c r="AC186" i="1"/>
  <c r="AC182" i="1"/>
  <c r="AC194" i="1"/>
  <c r="AC185" i="1"/>
  <c r="AC188" i="1"/>
  <c r="AC176" i="1"/>
  <c r="AC172" i="1"/>
  <c r="AC168" i="1"/>
  <c r="AC164" i="1"/>
  <c r="AC190" i="1"/>
  <c r="AC187" i="1"/>
  <c r="AC181" i="1"/>
  <c r="AC175" i="1"/>
  <c r="AC171" i="1"/>
  <c r="AC167" i="1"/>
  <c r="AC163" i="1"/>
  <c r="AC184" i="1"/>
  <c r="AC178" i="1"/>
  <c r="AC166" i="1"/>
  <c r="AC161" i="1"/>
  <c r="AC159" i="1"/>
  <c r="AC177" i="1"/>
  <c r="AC165" i="1"/>
  <c r="AC158" i="1"/>
  <c r="AC200" i="1"/>
  <c r="AC174" i="1"/>
  <c r="AC170" i="1"/>
  <c r="AC162" i="1"/>
  <c r="AC160" i="1"/>
  <c r="AC153" i="1"/>
  <c r="AC173" i="1"/>
  <c r="AC183" i="1"/>
  <c r="AC169" i="1"/>
  <c r="AC152" i="1"/>
  <c r="AC199" i="1"/>
  <c r="AK202" i="1"/>
  <c r="AK198" i="1"/>
  <c r="AK193" i="1"/>
  <c r="AK189" i="1"/>
  <c r="AK201" i="1"/>
  <c r="AK197" i="1"/>
  <c r="AK192" i="1"/>
  <c r="AK196" i="1"/>
  <c r="AK186" i="1"/>
  <c r="AK182" i="1"/>
  <c r="AK194" i="1"/>
  <c r="AK190" i="1"/>
  <c r="AK185" i="1"/>
  <c r="AK200" i="1"/>
  <c r="AK191" i="1"/>
  <c r="AK188" i="1"/>
  <c r="AK176" i="1"/>
  <c r="AK172" i="1"/>
  <c r="AK168" i="1"/>
  <c r="AK164" i="1"/>
  <c r="AK160" i="1"/>
  <c r="AK187" i="1"/>
  <c r="AK175" i="1"/>
  <c r="AK171" i="1"/>
  <c r="AK167" i="1"/>
  <c r="AK163" i="1"/>
  <c r="AK178" i="1"/>
  <c r="AK166" i="1"/>
  <c r="AK161" i="1"/>
  <c r="AK159" i="1"/>
  <c r="AK183" i="1"/>
  <c r="AK181" i="1"/>
  <c r="AK177" i="1"/>
  <c r="AK165" i="1"/>
  <c r="AK158" i="1"/>
  <c r="AK184" i="1"/>
  <c r="AK174" i="1"/>
  <c r="AK170" i="1"/>
  <c r="AK162" i="1"/>
  <c r="AK153" i="1"/>
  <c r="AK169" i="1"/>
  <c r="AK152" i="1"/>
  <c r="AK173" i="1"/>
  <c r="U202" i="1"/>
  <c r="U198" i="1"/>
  <c r="U193" i="1"/>
  <c r="U189" i="1"/>
  <c r="U201" i="1"/>
  <c r="U197" i="1"/>
  <c r="U192" i="1"/>
  <c r="U196" i="1"/>
  <c r="U186" i="1"/>
  <c r="U182" i="1"/>
  <c r="U194" i="1"/>
  <c r="U190" i="1"/>
  <c r="U185" i="1"/>
  <c r="U200" i="1"/>
  <c r="U188" i="1"/>
  <c r="U176" i="1"/>
  <c r="U172" i="1"/>
  <c r="U168" i="1"/>
  <c r="U164" i="1"/>
  <c r="U187" i="1"/>
  <c r="U181" i="1"/>
  <c r="U175" i="1"/>
  <c r="U171" i="1"/>
  <c r="U167" i="1"/>
  <c r="U163" i="1"/>
  <c r="U178" i="1"/>
  <c r="U166" i="1"/>
  <c r="U161" i="1"/>
  <c r="U159" i="1"/>
  <c r="U183" i="1"/>
  <c r="U177" i="1"/>
  <c r="U165" i="1"/>
  <c r="U158" i="1"/>
  <c r="U191" i="1"/>
  <c r="U184" i="1"/>
  <c r="U174" i="1"/>
  <c r="U170" i="1"/>
  <c r="U162" i="1"/>
  <c r="U169" i="1"/>
  <c r="U160" i="1"/>
  <c r="U153" i="1"/>
  <c r="U199" i="1"/>
  <c r="U173" i="1"/>
  <c r="U152" i="1"/>
  <c r="I39" i="1"/>
  <c r="H57" i="1"/>
  <c r="I57" i="1" s="1"/>
  <c r="AE200" i="1"/>
  <c r="AE196" i="1"/>
  <c r="AE191" i="1"/>
  <c r="AE194" i="1"/>
  <c r="AE198" i="1"/>
  <c r="AE193" i="1"/>
  <c r="AE189" i="1"/>
  <c r="AE188" i="1"/>
  <c r="AE184" i="1"/>
  <c r="AE201" i="1"/>
  <c r="AE192" i="1"/>
  <c r="AE190" i="1"/>
  <c r="AE187" i="1"/>
  <c r="AE183" i="1"/>
  <c r="AE202" i="1"/>
  <c r="AE186" i="1"/>
  <c r="AE181" i="1"/>
  <c r="AE178" i="1"/>
  <c r="AE174" i="1"/>
  <c r="AE170" i="1"/>
  <c r="AE166" i="1"/>
  <c r="AE162" i="1"/>
  <c r="AE185" i="1"/>
  <c r="AE182" i="1"/>
  <c r="AE177" i="1"/>
  <c r="AE173" i="1"/>
  <c r="AE169" i="1"/>
  <c r="AE165" i="1"/>
  <c r="AE161" i="1"/>
  <c r="AE176" i="1"/>
  <c r="AE164" i="1"/>
  <c r="AE153" i="1"/>
  <c r="AE197" i="1"/>
  <c r="AE175" i="1"/>
  <c r="AE171" i="1"/>
  <c r="AE160" i="1"/>
  <c r="AE152" i="1"/>
  <c r="AE172" i="1"/>
  <c r="AE168" i="1"/>
  <c r="AE159" i="1"/>
  <c r="AE167" i="1"/>
  <c r="AE158" i="1"/>
  <c r="AE163" i="1"/>
  <c r="P194" i="1"/>
  <c r="P190" i="1"/>
  <c r="P202" i="1"/>
  <c r="P198" i="1"/>
  <c r="P193" i="1"/>
  <c r="P201" i="1"/>
  <c r="P192" i="1"/>
  <c r="P187" i="1"/>
  <c r="P183" i="1"/>
  <c r="P200" i="1"/>
  <c r="P186" i="1"/>
  <c r="P191" i="1"/>
  <c r="P185" i="1"/>
  <c r="P182" i="1"/>
  <c r="P177" i="1"/>
  <c r="P173" i="1"/>
  <c r="P169" i="1"/>
  <c r="P165" i="1"/>
  <c r="P161" i="1"/>
  <c r="P196" i="1"/>
  <c r="P184" i="1"/>
  <c r="P176" i="1"/>
  <c r="P172" i="1"/>
  <c r="P168" i="1"/>
  <c r="P164" i="1"/>
  <c r="P175" i="1"/>
  <c r="P171" i="1"/>
  <c r="P160" i="1"/>
  <c r="P152" i="1"/>
  <c r="P189" i="1"/>
  <c r="P174" i="1"/>
  <c r="P170" i="1"/>
  <c r="P162" i="1"/>
  <c r="P159" i="1"/>
  <c r="P197" i="1"/>
  <c r="P181" i="1"/>
  <c r="P167" i="1"/>
  <c r="P163" i="1"/>
  <c r="P188" i="1"/>
  <c r="P178" i="1"/>
  <c r="P158" i="1"/>
  <c r="P166" i="1"/>
  <c r="P153" i="1"/>
  <c r="F24" i="1"/>
  <c r="F151" i="1" l="1"/>
  <c r="F29" i="1" s="1"/>
  <c r="G29" i="1" s="1"/>
  <c r="F153" i="1"/>
  <c r="F31" i="1" s="1"/>
  <c r="H31" i="1" s="1"/>
  <c r="I31" i="1" s="1"/>
  <c r="F197" i="1"/>
  <c r="F200" i="1"/>
  <c r="F78" i="1" s="1"/>
  <c r="H78" i="1" s="1"/>
  <c r="I78" i="1" s="1"/>
  <c r="F165" i="1"/>
  <c r="F178" i="1"/>
  <c r="F190" i="1"/>
  <c r="F173" i="1"/>
  <c r="F194" i="1"/>
  <c r="F199" i="1"/>
  <c r="F77" i="1" s="1"/>
  <c r="G77" i="1" s="1"/>
  <c r="F202" i="1"/>
  <c r="F166" i="1"/>
  <c r="F175" i="1"/>
  <c r="F172" i="1"/>
  <c r="F50" i="1" s="1"/>
  <c r="G50" i="1" s="1"/>
  <c r="F188" i="1"/>
  <c r="F177" i="1"/>
  <c r="F181" i="1"/>
  <c r="F162" i="1"/>
  <c r="F171" i="1"/>
  <c r="F161" i="1"/>
  <c r="F186" i="1"/>
  <c r="F81" i="1"/>
  <c r="F152" i="1"/>
  <c r="F30" i="1" s="1"/>
  <c r="G30" i="1" s="1"/>
  <c r="F187" i="1"/>
  <c r="F198" i="1"/>
  <c r="F75" i="1" s="1"/>
  <c r="F174" i="1"/>
  <c r="F192" i="1"/>
  <c r="F189" i="1"/>
  <c r="F176" i="1"/>
  <c r="F182" i="1"/>
  <c r="F201" i="1"/>
  <c r="F79" i="1" s="1"/>
  <c r="F169" i="1"/>
  <c r="F163" i="1"/>
  <c r="F41" i="1" s="1"/>
  <c r="G41" i="1" s="1"/>
  <c r="F184" i="1"/>
  <c r="F164" i="1"/>
  <c r="F42" i="1" s="1"/>
  <c r="G42" i="1" s="1"/>
  <c r="F167" i="1"/>
  <c r="F185" i="1"/>
  <c r="F183" i="1"/>
  <c r="F193" i="1"/>
  <c r="F170" i="1"/>
  <c r="F168" i="1"/>
  <c r="F196" i="1"/>
  <c r="F191" i="1"/>
  <c r="H29" i="1" l="1"/>
  <c r="I29" i="1" s="1"/>
  <c r="G31" i="1"/>
  <c r="H42" i="1"/>
  <c r="I42" i="1" s="1"/>
  <c r="H77" i="1"/>
  <c r="H50" i="1"/>
  <c r="I50" i="1" s="1"/>
  <c r="F76" i="1"/>
  <c r="H41" i="1"/>
  <c r="I41" i="1" s="1"/>
  <c r="F58" i="1"/>
  <c r="H30" i="1"/>
  <c r="I30" i="1" s="1"/>
  <c r="G58" i="1"/>
  <c r="H58" i="1" l="1"/>
  <c r="I58" i="1"/>
</calcChain>
</file>

<file path=xl/sharedStrings.xml><?xml version="1.0" encoding="utf-8"?>
<sst xmlns="http://schemas.openxmlformats.org/spreadsheetml/2006/main" count="436" uniqueCount="139">
  <si>
    <t>F92E038F-61DB4C01-A2D28AB5-4A0A2999</t>
  </si>
  <si>
    <t>TERMINAL QUALITY</t>
  </si>
  <si>
    <t>Total</t>
  </si>
  <si>
    <t>VLSFO</t>
  </si>
  <si>
    <t>LSFO</t>
  </si>
  <si>
    <t>TANKER A</t>
  </si>
  <si>
    <t>CAP. CBM</t>
  </si>
  <si>
    <t>TANK TEMP</t>
  </si>
  <si>
    <t>DENSITY</t>
  </si>
  <si>
    <t>AVLBL MTA</t>
  </si>
  <si>
    <t>CAP. MTA</t>
  </si>
  <si>
    <t>IN TANK MTA</t>
  </si>
  <si>
    <t>Blend Q</t>
  </si>
  <si>
    <t>strategy</t>
  </si>
  <si>
    <t>Blend %</t>
  </si>
  <si>
    <t>Origin</t>
  </si>
  <si>
    <t>Strategy</t>
  </si>
  <si>
    <t>SPEC</t>
  </si>
  <si>
    <t>Method</t>
  </si>
  <si>
    <t>Measure</t>
  </si>
  <si>
    <t>RMG 380</t>
  </si>
  <si>
    <t>Blend
Calc:</t>
  </si>
  <si>
    <t>[ r ]</t>
  </si>
  <si>
    <t>{ R }</t>
  </si>
  <si>
    <t>TANK 1</t>
  </si>
  <si>
    <t>TANK 2</t>
  </si>
  <si>
    <t>TANK 3</t>
  </si>
  <si>
    <t>TANK 4</t>
  </si>
  <si>
    <t>Density at 15 oC</t>
  </si>
  <si>
    <t>ASTM D 1298</t>
  </si>
  <si>
    <t>kg/l</t>
  </si>
  <si>
    <t>Kin. Viscosity at 50 deg C</t>
  </si>
  <si>
    <t>ASTM D 445</t>
  </si>
  <si>
    <t>mm2/s</t>
  </si>
  <si>
    <t>Water by distillation</t>
  </si>
  <si>
    <t>ASTM D 95</t>
  </si>
  <si>
    <t>% v/v</t>
  </si>
  <si>
    <t>Sulphur</t>
  </si>
  <si>
    <t>ASTM D 4294</t>
  </si>
  <si>
    <t>% m/m</t>
  </si>
  <si>
    <t>Flash Point PMCC</t>
  </si>
  <si>
    <t>ASTM D 93</t>
  </si>
  <si>
    <t>deg C</t>
  </si>
  <si>
    <t>Pour Point</t>
  </si>
  <si>
    <t>ASTM D 97</t>
  </si>
  <si>
    <t>Bromine Number</t>
  </si>
  <si>
    <t>ASTM D 1159</t>
  </si>
  <si>
    <t>g Br2/100g</t>
  </si>
  <si>
    <t>n/a</t>
  </si>
  <si>
    <t>recovered @ 360 deg. C</t>
  </si>
  <si>
    <t>ASTM D 1160</t>
  </si>
  <si>
    <t>Toluene</t>
  </si>
  <si>
    <t>SMS 1600-83</t>
  </si>
  <si>
    <t>Xylene</t>
  </si>
  <si>
    <t>AM-S 79-004</t>
  </si>
  <si>
    <t>P-value</t>
  </si>
  <si>
    <t>BP 230-90</t>
  </si>
  <si>
    <t>Vanadium [V]</t>
  </si>
  <si>
    <t>AAS, IP-501</t>
  </si>
  <si>
    <t>mg/kg</t>
  </si>
  <si>
    <t>Nickel [Ni]</t>
  </si>
  <si>
    <t>Aluminium [Al]</t>
  </si>
  <si>
    <t>Silicon [Si]</t>
  </si>
  <si>
    <t>Sodium [Na]</t>
  </si>
  <si>
    <t>Iron [Fe]</t>
  </si>
  <si>
    <t>Carbon Residue Mic.Meth.</t>
  </si>
  <si>
    <t>ASTM D 4530</t>
  </si>
  <si>
    <t>Cu,Pb,K,Mg</t>
  </si>
  <si>
    <t>Phosphorus [P]</t>
  </si>
  <si>
    <t>Calcium [Ca]</t>
  </si>
  <si>
    <t>TSE</t>
  </si>
  <si>
    <t>IP 375</t>
  </si>
  <si>
    <t>TSP</t>
  </si>
  <si>
    <t>IP 390 (A)</t>
  </si>
  <si>
    <t>TSA</t>
  </si>
  <si>
    <t>IP 390 (B)</t>
  </si>
  <si>
    <t>Asphalthene content</t>
  </si>
  <si>
    <t>IP 143</t>
  </si>
  <si>
    <t>Total Nitrogen</t>
  </si>
  <si>
    <t>ASTM D 5762</t>
  </si>
  <si>
    <t>Ash</t>
  </si>
  <si>
    <t>ASTM D 482</t>
  </si>
  <si>
    <t>Sediments by extraction</t>
  </si>
  <si>
    <t>ASTM D 473</t>
  </si>
  <si>
    <t>TAN / SAN</t>
  </si>
  <si>
    <t>ASTM D 664</t>
  </si>
  <si>
    <t>mg KOH/g</t>
  </si>
  <si>
    <t>V + Ni</t>
  </si>
  <si>
    <t>Al + Si</t>
  </si>
  <si>
    <t xml:space="preserve">DISTILLATION:                              </t>
  </si>
  <si>
    <t xml:space="preserve">IBP                        </t>
  </si>
  <si>
    <t xml:space="preserve">5% recovered               </t>
  </si>
  <si>
    <t xml:space="preserve">10% recovered              </t>
  </si>
  <si>
    <t xml:space="preserve">20% recovered              </t>
  </si>
  <si>
    <t xml:space="preserve">30% recovered              </t>
  </si>
  <si>
    <t xml:space="preserve">40% recovered              </t>
  </si>
  <si>
    <t xml:space="preserve">50% recovered              </t>
  </si>
  <si>
    <t xml:space="preserve">60% recovered              </t>
  </si>
  <si>
    <t xml:space="preserve">70% recovered              </t>
  </si>
  <si>
    <t>FBP</t>
  </si>
  <si>
    <t>Total recovery</t>
  </si>
  <si>
    <t>Recovery at 350 deg C</t>
  </si>
  <si>
    <t>Recovery at 520 deg C</t>
  </si>
  <si>
    <t>Salt Cont. (as NaCl) </t>
  </si>
  <si>
    <t>ASTM D3230</t>
  </si>
  <si>
    <t>mass %  </t>
  </si>
  <si>
    <t>Inorganic Chloride</t>
  </si>
  <si>
    <t>IP 510</t>
  </si>
  <si>
    <t>Organic Chloride</t>
  </si>
  <si>
    <t>UOP 588</t>
  </si>
  <si>
    <t>Chloride Total</t>
  </si>
  <si>
    <t>CCAI</t>
  </si>
  <si>
    <t>ISO-8217 (F)</t>
  </si>
  <si>
    <t>Aniline Point</t>
  </si>
  <si>
    <t>ASTM D 611</t>
  </si>
  <si>
    <t>Acid number</t>
  </si>
  <si>
    <t>PRICES</t>
  </si>
  <si>
    <t>SUMS:</t>
  </si>
  <si>
    <t>Temperature at shT</t>
  </si>
  <si>
    <t>GSV</t>
  </si>
  <si>
    <t>(Tabl. 52) :</t>
  </si>
  <si>
    <t>Loaded TOV</t>
  </si>
  <si>
    <t>Density KG/M3</t>
  </si>
  <si>
    <t>Price</t>
  </si>
  <si>
    <t xml:space="preserve">DENSITY AT 15 oC                </t>
  </si>
  <si>
    <t>Kinematic Viscosity at 50 deg C</t>
  </si>
  <si>
    <t>SULPHUR  </t>
  </si>
  <si>
    <t>Carbon Residue Micro Method</t>
  </si>
  <si>
    <t>Zinc [Zn]</t>
  </si>
  <si>
    <t>UOP 779</t>
  </si>
  <si>
    <t>Compatibility</t>
  </si>
  <si>
    <t>Stability</t>
  </si>
  <si>
    <t>z9</t>
  </si>
  <si>
    <t>(Tabl. 52) : US Barrels at 60 ° F to Cubic Meters at 15 ° C</t>
  </si>
  <si>
    <t>TANKER B</t>
  </si>
  <si>
    <t>TANKER C</t>
  </si>
  <si>
    <t>TANKER F</t>
  </si>
  <si>
    <t>TANKER G</t>
  </si>
  <si>
    <t>TANKER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</si>
</sst>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0.00000"/>
    <numFmt numFmtId="165" formatCode="#,##0;\(#,##0\);\-"/>
    <numFmt numFmtId="166" formatCode="#,##0.000"/>
    <numFmt numFmtId="167" formatCode="_(* #,##0.00_);_(* \(#,##0.00\);_(* &quot;-&quot;??_);_(@_)"/>
    <numFmt numFmtId="168" formatCode="_(* #,##0.000_);_(* \(#,##0.000\);_(* &quot;-&quot;??_);_(@_)"/>
    <numFmt numFmtId="169" formatCode="#,##0.000;\(#,##0.000\);\-"/>
    <numFmt numFmtId="170" formatCode="#,##0.0;\(#,##0.0\);\-"/>
    <numFmt numFmtId="171" formatCode="#,##0.0000;\(#,##0.0000\);\-"/>
    <numFmt numFmtId="172" formatCode="#,##0.00;\(#,##0.00\);\-"/>
    <numFmt numFmtId="173" formatCode="#,##0.000_);\(#,##0.000\)"/>
    <numFmt numFmtId="174" formatCode="0.0000"/>
    <numFmt numFmtId="175" formatCode="0.000"/>
    <numFmt numFmtId="176" formatCode="0.0"/>
    <numFmt numFmtId="177" formatCode="0.0_ ;[Blue]\-0.0\ "/>
    <numFmt numFmtId="178" formatCode="_(* #,##0.000_);_(* \(#,##0.000\);_(* &quot;-&quot;???_);_(@_)"/>
    <numFmt numFmtId="179" formatCode="_-* #,##0.00\ _₽_-;\-* #,##0.00\ _₽_-;_-* &quot;-&quot;??\ _₽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20"/>
      <color theme="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0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8"/>
      <color theme="0" tint="-0.499984740745262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  <font>
      <b/>
      <sz val="9"/>
      <color theme="0"/>
      <name val="Arial"/>
      <family val="2"/>
      <charset val="204"/>
    </font>
    <font>
      <sz val="7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1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25">
    <xf numFmtId="0" fontId="0" fillId="0" borderId="0" xfId="0"/>
    <xf numFmtId="0" fontId="3" fillId="0" borderId="0" xfId="3" applyFont="1" applyAlignment="1">
      <alignment horizontal="left" vertical="center"/>
    </xf>
    <xf numFmtId="0" fontId="3" fillId="0" borderId="0" xfId="3" quotePrefix="1" applyFont="1" applyAlignment="1">
      <alignment horizontal="left" vertical="center"/>
    </xf>
    <xf numFmtId="0" fontId="3" fillId="0" borderId="0" xfId="3" applyFont="1" applyAlignment="1">
      <alignment horizontal="center" vertical="center"/>
    </xf>
    <xf numFmtId="164" fontId="4" fillId="2" borderId="0" xfId="4" applyNumberFormat="1" applyFont="1" applyFill="1" applyAlignment="1" applyProtection="1">
      <alignment vertical="center"/>
      <protection locked="0"/>
    </xf>
    <xf numFmtId="165" fontId="3" fillId="0" borderId="0" xfId="3" applyNumberFormat="1" applyFont="1" applyAlignment="1">
      <alignment horizontal="left" vertical="center"/>
    </xf>
    <xf numFmtId="166" fontId="3" fillId="0" borderId="0" xfId="3" applyNumberFormat="1" applyFont="1" applyAlignment="1">
      <alignment horizontal="center" vertical="center"/>
    </xf>
    <xf numFmtId="167" fontId="3" fillId="0" borderId="0" xfId="1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3" borderId="0" xfId="3" applyFont="1" applyFill="1" applyAlignment="1">
      <alignment horizontal="left" vertical="center"/>
    </xf>
    <xf numFmtId="0" fontId="3" fillId="3" borderId="0" xfId="3" applyFont="1" applyFill="1" applyAlignment="1">
      <alignment horizontal="center" vertical="center"/>
    </xf>
    <xf numFmtId="0" fontId="3" fillId="3" borderId="0" xfId="3" applyFont="1" applyFill="1" applyAlignment="1">
      <alignment horizontal="right" vertical="center"/>
    </xf>
    <xf numFmtId="0" fontId="5" fillId="4" borderId="1" xfId="3" applyFont="1" applyFill="1" applyBorder="1" applyAlignment="1" applyProtection="1">
      <alignment horizontal="center" vertical="center"/>
      <protection locked="0"/>
    </xf>
    <xf numFmtId="0" fontId="3" fillId="3" borderId="1" xfId="3" applyFont="1" applyFill="1" applyBorder="1" applyAlignment="1">
      <alignment horizontal="center" vertical="center"/>
    </xf>
    <xf numFmtId="0" fontId="6" fillId="4" borderId="1" xfId="3" applyFont="1" applyFill="1" applyBorder="1" applyAlignment="1" applyProtection="1">
      <alignment horizontal="center" vertical="center" wrapText="1"/>
      <protection locked="0"/>
    </xf>
    <xf numFmtId="0" fontId="6" fillId="5" borderId="1" xfId="3" applyFont="1" applyFill="1" applyBorder="1" applyAlignment="1" applyProtection="1">
      <alignment horizontal="center" vertical="center" wrapText="1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0" fontId="7" fillId="6" borderId="1" xfId="3" applyFont="1" applyFill="1" applyBorder="1" applyAlignment="1">
      <alignment horizontal="right" vertical="center"/>
    </xf>
    <xf numFmtId="169" fontId="8" fillId="6" borderId="1" xfId="3" applyNumberFormat="1" applyFont="1" applyFill="1" applyBorder="1" applyAlignment="1">
      <alignment horizontal="center" vertical="center"/>
    </xf>
    <xf numFmtId="170" fontId="8" fillId="6" borderId="1" xfId="3" applyNumberFormat="1" applyFont="1" applyFill="1" applyBorder="1" applyAlignment="1">
      <alignment horizontal="center" vertical="center"/>
    </xf>
    <xf numFmtId="171" fontId="8" fillId="6" borderId="1" xfId="3" applyNumberFormat="1" applyFont="1" applyFill="1" applyBorder="1" applyAlignment="1">
      <alignment horizontal="center" vertical="center"/>
    </xf>
    <xf numFmtId="172" fontId="8" fillId="3" borderId="1" xfId="3" applyNumberFormat="1" applyFont="1" applyFill="1" applyBorder="1" applyAlignment="1">
      <alignment horizontal="center" vertical="center"/>
    </xf>
    <xf numFmtId="169" fontId="8" fillId="6" borderId="1" xfId="3" applyNumberFormat="1" applyFont="1" applyFill="1" applyBorder="1" applyAlignment="1" applyProtection="1">
      <alignment horizontal="center" vertical="center"/>
      <protection locked="0"/>
    </xf>
    <xf numFmtId="169" fontId="9" fillId="6" borderId="1" xfId="3" applyNumberFormat="1" applyFont="1" applyFill="1" applyBorder="1" applyAlignment="1" applyProtection="1">
      <alignment horizontal="center" vertical="center"/>
      <protection locked="0"/>
    </xf>
    <xf numFmtId="165" fontId="3" fillId="3" borderId="0" xfId="3" applyNumberFormat="1" applyFont="1" applyFill="1" applyAlignment="1">
      <alignment horizontal="left" vertical="center"/>
    </xf>
    <xf numFmtId="169" fontId="10" fillId="6" borderId="1" xfId="3" applyNumberFormat="1" applyFont="1" applyFill="1" applyBorder="1" applyAlignment="1" applyProtection="1">
      <alignment horizontal="center" vertical="center"/>
      <protection locked="0"/>
    </xf>
    <xf numFmtId="0" fontId="7" fillId="3" borderId="0" xfId="3" applyFont="1" applyFill="1" applyAlignment="1">
      <alignment horizontal="left" vertical="center"/>
    </xf>
    <xf numFmtId="169" fontId="9" fillId="6" borderId="1" xfId="3" applyNumberFormat="1" applyFont="1" applyFill="1" applyBorder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169" fontId="8" fillId="0" borderId="0" xfId="3" applyNumberFormat="1" applyFont="1" applyAlignment="1">
      <alignment horizontal="center" vertical="center"/>
    </xf>
    <xf numFmtId="172" fontId="8" fillId="0" borderId="0" xfId="3" applyNumberFormat="1" applyFont="1" applyAlignment="1">
      <alignment horizontal="center" vertical="center"/>
    </xf>
    <xf numFmtId="169" fontId="9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 applyProtection="1">
      <alignment horizontal="center" vertical="center"/>
      <protection locked="0"/>
    </xf>
    <xf numFmtId="173" fontId="3" fillId="0" borderId="0" xfId="3" applyNumberFormat="1" applyFont="1" applyAlignment="1">
      <alignment horizontal="center" vertical="center"/>
    </xf>
    <xf numFmtId="167" fontId="7" fillId="3" borderId="0" xfId="1" applyFont="1" applyFill="1" applyAlignment="1">
      <alignment horizontal="center" vertical="center"/>
    </xf>
    <xf numFmtId="167" fontId="3" fillId="3" borderId="0" xfId="1" applyFont="1" applyFill="1" applyAlignment="1">
      <alignment horizontal="center" vertical="center"/>
    </xf>
    <xf numFmtId="167" fontId="7" fillId="0" borderId="0" xfId="1" applyFont="1" applyAlignment="1">
      <alignment horizontal="center" vertical="center"/>
    </xf>
    <xf numFmtId="167" fontId="3" fillId="0" borderId="0" xfId="1" applyFont="1" applyAlignment="1" applyProtection="1">
      <alignment horizontal="center" vertical="center"/>
      <protection locked="0"/>
    </xf>
    <xf numFmtId="165" fontId="3" fillId="3" borderId="0" xfId="3" applyNumberFormat="1" applyFont="1" applyFill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166" fontId="7" fillId="3" borderId="1" xfId="3" applyNumberFormat="1" applyFont="1" applyFill="1" applyBorder="1" applyAlignment="1" applyProtection="1">
      <alignment horizontal="center" vertical="center"/>
      <protection hidden="1"/>
    </xf>
    <xf numFmtId="172" fontId="3" fillId="3" borderId="1" xfId="3" applyNumberFormat="1" applyFont="1" applyFill="1" applyBorder="1" applyAlignment="1">
      <alignment horizontal="center" vertical="center"/>
    </xf>
    <xf numFmtId="165" fontId="3" fillId="7" borderId="1" xfId="3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0" xfId="3" applyAlignment="1">
      <alignment horizontal="center" vertical="center"/>
    </xf>
    <xf numFmtId="166" fontId="3" fillId="3" borderId="1" xfId="3" applyNumberFormat="1" applyFont="1" applyFill="1" applyBorder="1" applyAlignment="1" applyProtection="1">
      <alignment horizontal="center" vertical="center"/>
      <protection hidden="1"/>
    </xf>
    <xf numFmtId="166" fontId="3" fillId="7" borderId="1" xfId="3" applyNumberFormat="1" applyFont="1" applyFill="1" applyBorder="1" applyAlignment="1" applyProtection="1">
      <alignment horizontal="center" vertical="center"/>
      <protection hidden="1"/>
    </xf>
    <xf numFmtId="3" fontId="3" fillId="3" borderId="1" xfId="3" applyNumberFormat="1" applyFont="1" applyFill="1" applyBorder="1" applyAlignment="1" applyProtection="1">
      <alignment horizontal="center" vertical="center"/>
      <protection hidden="1"/>
    </xf>
    <xf numFmtId="3" fontId="3" fillId="7" borderId="1" xfId="3" applyNumberFormat="1" applyFont="1" applyFill="1" applyBorder="1" applyAlignment="1" applyProtection="1">
      <alignment horizontal="center" vertical="center"/>
      <protection hidden="1"/>
    </xf>
    <xf numFmtId="166" fontId="3" fillId="3" borderId="0" xfId="3" applyNumberFormat="1" applyFont="1" applyFill="1" applyAlignment="1">
      <alignment horizontal="left" vertical="center"/>
    </xf>
    <xf numFmtId="9" fontId="11" fillId="3" borderId="1" xfId="2" applyFont="1" applyFill="1" applyBorder="1" applyAlignment="1" applyProtection="1">
      <alignment horizontal="center" vertical="center"/>
      <protection hidden="1"/>
    </xf>
    <xf numFmtId="10" fontId="3" fillId="7" borderId="1" xfId="2" applyNumberFormat="1" applyFont="1" applyFill="1" applyBorder="1" applyAlignment="1" applyProtection="1">
      <alignment horizontal="center" vertical="center"/>
      <protection hidden="1"/>
    </xf>
    <xf numFmtId="0" fontId="3" fillId="3" borderId="2" xfId="3" applyFont="1" applyFill="1" applyBorder="1" applyAlignment="1">
      <alignment horizontal="center" vertical="center"/>
    </xf>
    <xf numFmtId="10" fontId="11" fillId="7" borderId="1" xfId="2" applyNumberFormat="1" applyFont="1" applyFill="1" applyBorder="1" applyAlignment="1" applyProtection="1">
      <alignment horizontal="center" vertical="center"/>
      <protection hidden="1"/>
    </xf>
    <xf numFmtId="0" fontId="7" fillId="3" borderId="3" xfId="3" applyFont="1" applyFill="1" applyBorder="1" applyAlignment="1">
      <alignment horizontal="center" vertical="center"/>
    </xf>
    <xf numFmtId="9" fontId="11" fillId="3" borderId="3" xfId="2" applyFont="1" applyFill="1" applyBorder="1" applyAlignment="1" applyProtection="1">
      <alignment horizontal="center" vertical="center"/>
      <protection hidden="1"/>
    </xf>
    <xf numFmtId="0" fontId="3" fillId="3" borderId="3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10" fontId="3" fillId="7" borderId="3" xfId="2" applyNumberFormat="1" applyFont="1" applyFill="1" applyBorder="1" applyAlignment="1" applyProtection="1">
      <alignment horizontal="center" vertical="center"/>
      <protection hidden="1"/>
    </xf>
    <xf numFmtId="10" fontId="11" fillId="7" borderId="3" xfId="2" applyNumberFormat="1" applyFont="1" applyFill="1" applyBorder="1" applyAlignment="1" applyProtection="1">
      <alignment horizontal="center" vertical="center" wrapText="1"/>
      <protection hidden="1"/>
    </xf>
    <xf numFmtId="10" fontId="11" fillId="7" borderId="1" xfId="2" applyNumberFormat="1" applyFont="1" applyFill="1" applyBorder="1" applyAlignment="1" applyProtection="1">
      <alignment horizontal="center" vertical="center" wrapText="1"/>
      <protection hidden="1"/>
    </xf>
    <xf numFmtId="0" fontId="12" fillId="8" borderId="1" xfId="3" applyFont="1" applyFill="1" applyBorder="1" applyAlignment="1">
      <alignment horizontal="left" vertical="center"/>
    </xf>
    <xf numFmtId="174" fontId="12" fillId="8" borderId="1" xfId="3" applyNumberFormat="1" applyFont="1" applyFill="1" applyBorder="1" applyAlignment="1">
      <alignment horizontal="center" vertical="center"/>
    </xf>
    <xf numFmtId="0" fontId="12" fillId="8" borderId="1" xfId="3" applyFont="1" applyFill="1" applyBorder="1" applyAlignment="1" applyProtection="1">
      <alignment horizontal="center" vertical="center" wrapText="1"/>
      <protection locked="0"/>
    </xf>
    <xf numFmtId="0" fontId="12" fillId="8" borderId="1" xfId="3" applyFont="1" applyFill="1" applyBorder="1" applyAlignment="1" applyProtection="1">
      <alignment horizontal="center" vertical="center"/>
      <protection locked="0"/>
    </xf>
    <xf numFmtId="49" fontId="12" fillId="8" borderId="1" xfId="3" applyNumberFormat="1" applyFont="1" applyFill="1" applyBorder="1" applyAlignment="1" applyProtection="1">
      <alignment horizontal="center" vertical="center" wrapText="1"/>
      <protection locked="0"/>
    </xf>
    <xf numFmtId="49" fontId="12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3" applyFont="1" applyFill="1" applyBorder="1" applyAlignment="1" applyProtection="1">
      <alignment horizontal="left" vertical="center"/>
      <protection locked="0"/>
    </xf>
    <xf numFmtId="0" fontId="13" fillId="3" borderId="1" xfId="3" applyFont="1" applyFill="1" applyBorder="1" applyAlignment="1">
      <alignment horizontal="left" vertical="center"/>
    </xf>
    <xf numFmtId="0" fontId="13" fillId="3" borderId="1" xfId="3" applyFont="1" applyFill="1" applyBorder="1" applyAlignment="1">
      <alignment horizontal="center" vertical="center"/>
    </xf>
    <xf numFmtId="0" fontId="3" fillId="9" borderId="1" xfId="3" applyFont="1" applyFill="1" applyBorder="1" applyAlignment="1" applyProtection="1">
      <alignment horizontal="center" vertical="center"/>
      <protection locked="0"/>
    </xf>
    <xf numFmtId="174" fontId="14" fillId="7" borderId="1" xfId="3" applyNumberFormat="1" applyFont="1" applyFill="1" applyBorder="1" applyAlignment="1" applyProtection="1">
      <alignment horizontal="center" vertical="center"/>
      <protection locked="0"/>
    </xf>
    <xf numFmtId="174" fontId="14" fillId="10" borderId="1" xfId="3" applyNumberFormat="1" applyFont="1" applyFill="1" applyBorder="1" applyAlignment="1" applyProtection="1">
      <alignment horizontal="center" vertical="center"/>
      <protection locked="0"/>
    </xf>
    <xf numFmtId="174" fontId="15" fillId="10" borderId="1" xfId="3" applyNumberFormat="1" applyFont="1" applyFill="1" applyBorder="1" applyAlignment="1" applyProtection="1">
      <alignment horizontal="center" vertical="center"/>
      <protection locked="0"/>
    </xf>
    <xf numFmtId="1" fontId="14" fillId="7" borderId="1" xfId="3" applyNumberFormat="1" applyFont="1" applyFill="1" applyBorder="1" applyAlignment="1" applyProtection="1">
      <alignment horizontal="center" vertical="center"/>
      <protection locked="0"/>
    </xf>
    <xf numFmtId="2" fontId="3" fillId="3" borderId="1" xfId="3" applyNumberFormat="1" applyFont="1" applyFill="1" applyBorder="1" applyAlignment="1">
      <alignment horizontal="center" vertical="center"/>
    </xf>
    <xf numFmtId="2" fontId="14" fillId="10" borderId="1" xfId="3" applyNumberFormat="1" applyFont="1" applyFill="1" applyBorder="1" applyAlignment="1" applyProtection="1">
      <alignment horizontal="center" vertical="center"/>
      <protection locked="0"/>
    </xf>
    <xf numFmtId="2" fontId="15" fillId="10" borderId="1" xfId="3" applyNumberFormat="1" applyFont="1" applyFill="1" applyBorder="1" applyAlignment="1" applyProtection="1">
      <alignment horizontal="center" vertical="center"/>
      <protection locked="0"/>
    </xf>
    <xf numFmtId="1" fontId="14" fillId="10" borderId="1" xfId="3" applyNumberFormat="1" applyFont="1" applyFill="1" applyBorder="1" applyAlignment="1" applyProtection="1">
      <alignment horizontal="center" vertical="center"/>
      <protection locked="0"/>
    </xf>
    <xf numFmtId="2" fontId="3" fillId="9" borderId="1" xfId="3" applyNumberFormat="1" applyFont="1" applyFill="1" applyBorder="1" applyAlignment="1" applyProtection="1">
      <alignment horizontal="center" vertical="center"/>
      <protection locked="0"/>
    </xf>
    <xf numFmtId="2" fontId="14" fillId="7" borderId="1" xfId="3" applyNumberFormat="1" applyFont="1" applyFill="1" applyBorder="1" applyAlignment="1" applyProtection="1">
      <alignment horizontal="center" vertical="center"/>
      <protection locked="0"/>
    </xf>
    <xf numFmtId="175" fontId="3" fillId="9" borderId="1" xfId="3" applyNumberFormat="1" applyFont="1" applyFill="1" applyBorder="1" applyAlignment="1" applyProtection="1">
      <alignment horizontal="center" vertical="center"/>
      <protection locked="0"/>
    </xf>
    <xf numFmtId="175" fontId="14" fillId="7" borderId="1" xfId="3" applyNumberFormat="1" applyFont="1" applyFill="1" applyBorder="1" applyAlignment="1" applyProtection="1">
      <alignment horizontal="center" vertical="center"/>
      <protection locked="0"/>
    </xf>
    <xf numFmtId="175" fontId="3" fillId="3" borderId="1" xfId="3" applyNumberFormat="1" applyFont="1" applyFill="1" applyBorder="1" applyAlignment="1">
      <alignment horizontal="center" vertical="center"/>
    </xf>
    <xf numFmtId="175" fontId="14" fillId="10" borderId="1" xfId="3" applyNumberFormat="1" applyFont="1" applyFill="1" applyBorder="1" applyAlignment="1" applyProtection="1">
      <alignment horizontal="center" vertical="center"/>
      <protection locked="0"/>
    </xf>
    <xf numFmtId="175" fontId="15" fillId="10" borderId="1" xfId="3" applyNumberFormat="1" applyFont="1" applyFill="1" applyBorder="1" applyAlignment="1" applyProtection="1">
      <alignment horizontal="center" vertical="center"/>
      <protection locked="0"/>
    </xf>
    <xf numFmtId="176" fontId="3" fillId="3" borderId="1" xfId="3" applyNumberFormat="1" applyFont="1" applyFill="1" applyBorder="1" applyAlignment="1">
      <alignment horizontal="center" vertical="center"/>
    </xf>
    <xf numFmtId="177" fontId="3" fillId="3" borderId="1" xfId="3" applyNumberFormat="1" applyFont="1" applyFill="1" applyBorder="1" applyAlignment="1">
      <alignment horizontal="center" vertical="center"/>
    </xf>
    <xf numFmtId="1" fontId="15" fillId="10" borderId="1" xfId="3" applyNumberFormat="1" applyFont="1" applyFill="1" applyBorder="1" applyAlignment="1" applyProtection="1">
      <alignment horizontal="center" vertical="center"/>
      <protection locked="0"/>
    </xf>
    <xf numFmtId="176" fontId="14" fillId="7" borderId="1" xfId="3" applyNumberFormat="1" applyFont="1" applyFill="1" applyBorder="1" applyAlignment="1" applyProtection="1">
      <alignment horizontal="center" vertical="center"/>
      <protection locked="0"/>
    </xf>
    <xf numFmtId="176" fontId="14" fillId="10" borderId="1" xfId="3" applyNumberFormat="1" applyFont="1" applyFill="1" applyBorder="1" applyAlignment="1" applyProtection="1">
      <alignment horizontal="center" vertical="center"/>
      <protection locked="0"/>
    </xf>
    <xf numFmtId="176" fontId="15" fillId="10" borderId="1" xfId="3" applyNumberFormat="1" applyFont="1" applyFill="1" applyBorder="1" applyAlignment="1" applyProtection="1">
      <alignment horizontal="center" vertical="center"/>
      <protection locked="0"/>
    </xf>
    <xf numFmtId="1" fontId="15" fillId="7" borderId="1" xfId="3" applyNumberFormat="1" applyFont="1" applyFill="1" applyBorder="1" applyAlignment="1" applyProtection="1">
      <alignment horizontal="center" vertical="center"/>
      <protection locked="0"/>
    </xf>
    <xf numFmtId="176" fontId="10" fillId="7" borderId="1" xfId="3" applyNumberFormat="1" applyFont="1" applyFill="1" applyBorder="1" applyAlignment="1" applyProtection="1">
      <alignment horizontal="center" vertical="center"/>
      <protection hidden="1"/>
    </xf>
    <xf numFmtId="1" fontId="3" fillId="3" borderId="1" xfId="3" applyNumberFormat="1" applyFont="1" applyFill="1" applyBorder="1" applyAlignment="1">
      <alignment horizontal="center" vertical="center"/>
    </xf>
    <xf numFmtId="1" fontId="3" fillId="7" borderId="1" xfId="3" applyNumberFormat="1" applyFont="1" applyFill="1" applyBorder="1" applyAlignment="1" applyProtection="1">
      <alignment horizontal="center" vertical="center"/>
      <protection hidden="1"/>
    </xf>
    <xf numFmtId="172" fontId="3" fillId="0" borderId="0" xfId="3" applyNumberFormat="1" applyFont="1" applyAlignment="1">
      <alignment horizontal="center" vertical="center"/>
    </xf>
    <xf numFmtId="172" fontId="11" fillId="11" borderId="1" xfId="3" applyNumberFormat="1" applyFont="1" applyFill="1" applyBorder="1" applyAlignment="1">
      <alignment horizontal="center" vertical="center"/>
    </xf>
    <xf numFmtId="172" fontId="11" fillId="12" borderId="5" xfId="3" applyNumberFormat="1" applyFont="1" applyFill="1" applyBorder="1" applyAlignment="1">
      <alignment horizontal="center" vertical="center"/>
    </xf>
    <xf numFmtId="167" fontId="3" fillId="0" borderId="0" xfId="3" applyNumberFormat="1" applyFont="1" applyAlignment="1">
      <alignment horizontal="center" vertical="center"/>
    </xf>
    <xf numFmtId="178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179" fontId="3" fillId="0" borderId="0" xfId="3" applyNumberFormat="1" applyFont="1" applyAlignment="1">
      <alignment horizontal="center" vertical="center"/>
    </xf>
    <xf numFmtId="43" fontId="3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169" fontId="3" fillId="0" borderId="0" xfId="3" applyNumberFormat="1" applyFont="1" applyAlignment="1">
      <alignment horizontal="center" vertical="center"/>
    </xf>
    <xf numFmtId="0" fontId="3" fillId="13" borderId="1" xfId="3" applyFont="1" applyFill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3" borderId="1" xfId="3" applyFont="1" applyFill="1" applyBorder="1" applyAlignment="1">
      <alignment horizontal="left" vertical="center"/>
    </xf>
    <xf numFmtId="0" fontId="3" fillId="14" borderId="1" xfId="3" applyFont="1" applyFill="1" applyBorder="1" applyAlignment="1">
      <alignment horizontal="left" vertical="center"/>
    </xf>
    <xf numFmtId="0" fontId="3" fillId="15" borderId="1" xfId="3" applyFont="1" applyFill="1" applyBorder="1" applyAlignment="1">
      <alignment horizontal="left" vertical="center"/>
    </xf>
    <xf numFmtId="0" fontId="3" fillId="15" borderId="0" xfId="3" applyFont="1" applyFill="1" applyAlignment="1">
      <alignment horizontal="left" vertical="center"/>
    </xf>
    <xf numFmtId="0" fontId="3" fillId="15" borderId="1" xfId="3" applyFont="1" applyFill="1" applyBorder="1" applyAlignment="1">
      <alignment horizontal="center" vertical="center"/>
    </xf>
    <xf numFmtId="172" fontId="3" fillId="15" borderId="1" xfId="3" applyNumberFormat="1" applyFont="1" applyFill="1" applyBorder="1" applyAlignment="1">
      <alignment horizontal="center" vertical="center"/>
    </xf>
    <xf numFmtId="0" fontId="3" fillId="15" borderId="0" xfId="3" applyFont="1" applyFill="1" applyAlignment="1">
      <alignment horizontal="center" vertical="center"/>
    </xf>
    <xf numFmtId="2" fontId="16" fillId="13" borderId="6" xfId="3" applyNumberFormat="1" applyFont="1" applyFill="1" applyBorder="1" applyAlignment="1" applyProtection="1">
      <alignment horizontal="left" vertical="center"/>
      <protection hidden="1"/>
    </xf>
    <xf numFmtId="0" fontId="2" fillId="0" borderId="7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2" fillId="0" borderId="9" xfId="3" applyBorder="1" applyAlignment="1">
      <alignment horizontal="left" vertical="center"/>
    </xf>
    <xf numFmtId="0" fontId="2" fillId="0" borderId="10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</cellXfs>
  <cellStyles count="5">
    <cellStyle name="Comma" xfId="1" builtinId="3"/>
    <cellStyle name="Normal" xfId="0" builtinId="0"/>
    <cellStyle name="Normal 10 2" xfId="3" xr:uid="{7935AFA3-BFBC-428D-AD7F-DE9F3549C684}"/>
    <cellStyle name="Normal 13" xfId="4" xr:uid="{E4B4B98E-8B00-469F-92FE-258A36BA80FC}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kagestacom154-my.sharepoint.com/personal/rahim_h_alkagesta_com/Documents/REVOLUTION/Alkagesta%20Petroleum%20Company%20Ltd/DERIVATIVES/COMMANDOS/PRICE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rv2\groups\C\Users\Samir.Mammadov\AppData\Local\Microsoft\Windows\Temporary%20Internet%20Files\Content.Outlook\PC0TN1QQ\Copy%20of%20BoB%20as%20of%202008%20Master%2029.11.20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kagestacom154-my.sharepoint.com/Users/User/Desktop/Hellenic%20Blends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Rahim%20Hasanli/Desktop/MX%20CONTROL%20FILES/MX%20HEDGE/exposure/Caspi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Calendar2021"/>
      <sheetName val="Platts backup"/>
      <sheetName val="Platts Automated"/>
      <sheetName val="Platts"/>
      <sheetName val="Futures Settlement"/>
      <sheetName val="ICEGO"/>
      <sheetName val="Russian"/>
      <sheetName val="DFL"/>
      <sheetName val="ASIAN"/>
      <sheetName val="Crude"/>
      <sheetName val="Minute Marker"/>
      <sheetName val="US"/>
      <sheetName val="SW Automated"/>
      <sheetName val="0.5"/>
      <sheetName val="SW FO"/>
      <sheetName val="SW NAP"/>
      <sheetName val="BRENT 16 30 vs MM"/>
      <sheetName val="jet cif nwe diff"/>
      <sheetName val="ICE GO CRACKS"/>
      <sheetName val="NAP FOBMED-CIFNWE"/>
      <sheetName val="Nap fbmed"/>
      <sheetName val="SW LPG"/>
      <sheetName val="Swaps GO"/>
      <sheetName val="SW ULSD"/>
      <sheetName val="SW JET"/>
      <sheetName val="SW FR"/>
      <sheetName val="SW GSLN"/>
      <sheetName val="1%crack"/>
      <sheetName val="SW Sing ULSD"/>
      <sheetName val="GSLN"/>
      <sheetName val="to check forward curve"/>
      <sheetName val="Sheet1"/>
      <sheetName val="GO CIFMED"/>
      <sheetName val="GASOIL CIF MED"/>
      <sheetName val="Analysis"/>
      <sheetName val="Brent"/>
      <sheetName val="DatedGasoil"/>
      <sheetName val="Dashboard"/>
      <sheetName val="ICE GO swaps"/>
      <sheetName val="FR"/>
      <sheetName val="antipinsk gasoline"/>
      <sheetName val="Sing GO"/>
      <sheetName val="VGO"/>
      <sheetName val="GO CIF NWE - ICE GO"/>
      <sheetName val="VGO 2%"/>
      <sheetName val="Orxan request"/>
      <sheetName val="Actual Cracks-Diffs"/>
      <sheetName val="Market Structure "/>
      <sheetName val="GO"/>
      <sheetName val="ULSD"/>
      <sheetName val="OTHER"/>
      <sheetName val="Cracks"/>
      <sheetName val="3.5% FO CIF FOB Med Spread"/>
      <sheetName val="FO"/>
      <sheetName val="Sing ULSD"/>
      <sheetName val="PlattsBasedCracks"/>
      <sheetName val="TC6 WorldScale"/>
      <sheetName val="NAP"/>
      <sheetName val="WebIceFutSetl"/>
      <sheetName val="platts reuters tamaz"/>
      <sheetName val="minmak &amp; crude"/>
      <sheetName val="Futures Help"/>
      <sheetName val="DateBrent"/>
      <sheetName val="Platts Help"/>
      <sheetName val="Dated brent vs Brent 1st line"/>
      <sheetName val="16;30 Help"/>
      <sheetName val="TP FO"/>
      <sheetName val="MD"/>
      <sheetName val="COB"/>
      <sheetName val="OB"/>
      <sheetName val="SING"/>
      <sheetName val="Rus Help"/>
      <sheetName val="US Help"/>
      <sheetName val="Asian help"/>
      <sheetName val="LPG graphs"/>
      <sheetName val="Crude Help"/>
      <sheetName val="Symbols"/>
      <sheetName val="ULSD CIFNWE&amp;FOB BRGS"/>
      <sheetName val="AVERAGE OF ULSD CIFNWE AND BRGS"/>
      <sheetName val="Others"/>
      <sheetName val="Futures Copy"/>
      <sheetName val="Sheet4"/>
      <sheetName val="Sheet2"/>
      <sheetName val="Dec MedNorth"/>
      <sheetName val="Sheet3"/>
      <sheetName val="Calendar 2020"/>
      <sheetName val="Calendar2022"/>
      <sheetName val="Gasoline"/>
      <sheetName val="SING WINDOW"/>
    </sheetNames>
    <sheetDataSet>
      <sheetData sheetId="0"/>
      <sheetData sheetId="1"/>
      <sheetData sheetId="2"/>
      <sheetData sheetId="3"/>
      <sheetData sheetId="4">
        <row r="1">
          <cell r="A1"/>
        </row>
      </sheetData>
      <sheetData sheetId="5">
        <row r="1">
          <cell r="A1" t="str">
            <v>sure</v>
          </cell>
        </row>
      </sheetData>
      <sheetData sheetId="6"/>
      <sheetData sheetId="7"/>
      <sheetData sheetId="8"/>
      <sheetData sheetId="9"/>
      <sheetData sheetId="10">
        <row r="1035">
          <cell r="I1035">
            <v>50.335000000000001</v>
          </cell>
        </row>
      </sheetData>
      <sheetData sheetId="11">
        <row r="1">
          <cell r="A1"/>
        </row>
      </sheetData>
      <sheetData sheetId="12"/>
      <sheetData sheetId="13"/>
      <sheetData sheetId="14"/>
      <sheetData sheetId="15">
        <row r="735">
          <cell r="C735">
            <v>200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034">
          <cell r="Z1034">
            <v>2.25</v>
          </cell>
        </row>
      </sheetData>
      <sheetData sheetId="24">
        <row r="1033">
          <cell r="B1033">
            <v>5.75</v>
          </cell>
        </row>
      </sheetData>
      <sheetData sheetId="25">
        <row r="1034">
          <cell r="B1034">
            <v>15.5</v>
          </cell>
        </row>
      </sheetData>
      <sheetData sheetId="26">
        <row r="1034">
          <cell r="BC1034">
            <v>90.75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506">
          <cell r="B506">
            <v>-15.05</v>
          </cell>
          <cell r="C506">
            <v>-2.8640449438202253</v>
          </cell>
          <cell r="D506">
            <v>12.921476510067109</v>
          </cell>
        </row>
        <row r="507">
          <cell r="B507">
            <v>-14.9</v>
          </cell>
          <cell r="C507">
            <v>-2.5302247191011205</v>
          </cell>
          <cell r="D507">
            <v>12.609463087248315</v>
          </cell>
        </row>
        <row r="508">
          <cell r="B508">
            <v>-14.501942376521122</v>
          </cell>
          <cell r="C508">
            <v>-1.784044943820227</v>
          </cell>
          <cell r="D508">
            <v>12.278053691275169</v>
          </cell>
        </row>
        <row r="509">
          <cell r="B509">
            <v>-14</v>
          </cell>
          <cell r="C509">
            <v>-2.0583146067415754</v>
          </cell>
          <cell r="D509">
            <v>12.19651006711409</v>
          </cell>
        </row>
        <row r="510">
          <cell r="B510">
            <v>-13.4</v>
          </cell>
          <cell r="C510">
            <v>-2.0583146067415683</v>
          </cell>
          <cell r="D510">
            <v>12.437919463087241</v>
          </cell>
        </row>
        <row r="511">
          <cell r="B511">
            <v>-13.199912962858988</v>
          </cell>
          <cell r="C511">
            <v>-2.2049438202247131</v>
          </cell>
          <cell r="D511">
            <v>12.581946308724831</v>
          </cell>
        </row>
        <row r="512">
          <cell r="B512">
            <v>-13.4</v>
          </cell>
          <cell r="C512">
            <v>-3.4092134831460612</v>
          </cell>
          <cell r="D512">
            <v>12.050402684563757</v>
          </cell>
        </row>
        <row r="513">
          <cell r="B513">
            <v>-14.150227988546902</v>
          </cell>
          <cell r="C513">
            <v>-3.62966292134832</v>
          </cell>
          <cell r="D513">
            <v>11.299932885906045</v>
          </cell>
        </row>
        <row r="514">
          <cell r="B514">
            <v>-14.5</v>
          </cell>
          <cell r="C514">
            <v>-3.8696629213483149</v>
          </cell>
          <cell r="D514">
            <v>10.831006711409394</v>
          </cell>
        </row>
        <row r="515">
          <cell r="B515">
            <v>-14.849625340014313</v>
          </cell>
          <cell r="C515">
            <v>-4.1039325842696641</v>
          </cell>
          <cell r="D515">
            <v>10.455973154362411</v>
          </cell>
        </row>
        <row r="516">
          <cell r="B516">
            <v>-14.85</v>
          </cell>
          <cell r="C516">
            <v>-4.0758426966292163</v>
          </cell>
          <cell r="D516">
            <v>10.454429530201345</v>
          </cell>
        </row>
        <row r="517">
          <cell r="B517">
            <v>-14.003957130875683</v>
          </cell>
          <cell r="C517">
            <v>-3.897303370786517</v>
          </cell>
          <cell r="D517">
            <v>10.625033557046969</v>
          </cell>
        </row>
        <row r="518">
          <cell r="B518">
            <v>-13.403645418754451</v>
          </cell>
          <cell r="C518">
            <v>-3.8358426966292143</v>
          </cell>
          <cell r="D518">
            <v>10.097785234899327</v>
          </cell>
        </row>
        <row r="519">
          <cell r="B519">
            <v>-14.05</v>
          </cell>
          <cell r="C519">
            <v>-3.9773033707865082</v>
          </cell>
          <cell r="D519">
            <v>10.181342281879189</v>
          </cell>
        </row>
        <row r="520">
          <cell r="B520">
            <v>-13.35</v>
          </cell>
          <cell r="C520">
            <v>-4.7473033707865184</v>
          </cell>
          <cell r="D520">
            <v>8.8694630872483202</v>
          </cell>
        </row>
        <row r="521">
          <cell r="B521">
            <v>-12.2</v>
          </cell>
          <cell r="C521">
            <v>-4.877303370786521</v>
          </cell>
          <cell r="D521">
            <v>8.5051006711409372</v>
          </cell>
        </row>
        <row r="522">
          <cell r="B522">
            <v>-12.450980670705931</v>
          </cell>
          <cell r="C522">
            <v>-4.4811235955056148</v>
          </cell>
          <cell r="D522">
            <v>9.3453691275167756</v>
          </cell>
        </row>
        <row r="523">
          <cell r="B523">
            <v>-13.25</v>
          </cell>
          <cell r="C523">
            <v>-4.53</v>
          </cell>
          <cell r="D523">
            <v>9.6036241610738244</v>
          </cell>
        </row>
        <row r="524">
          <cell r="B524">
            <v>-12.35</v>
          </cell>
          <cell r="C524">
            <v>-5.2996629213483146</v>
          </cell>
          <cell r="D524">
            <v>10.095637583892618</v>
          </cell>
        </row>
        <row r="525">
          <cell r="B525">
            <v>-11.4</v>
          </cell>
          <cell r="C525">
            <v>-4.7015730337078736</v>
          </cell>
          <cell r="D525">
            <v>9.7173825503355715</v>
          </cell>
        </row>
        <row r="526">
          <cell r="B526">
            <v>-10.1</v>
          </cell>
          <cell r="C526">
            <v>-3.9558426966292117</v>
          </cell>
          <cell r="D526">
            <v>9.6162416107382569</v>
          </cell>
        </row>
        <row r="527">
          <cell r="B527">
            <v>-10.45</v>
          </cell>
          <cell r="C527">
            <v>-2.3405617977528053</v>
          </cell>
          <cell r="D527">
            <v>10.953691275167785</v>
          </cell>
        </row>
        <row r="528">
          <cell r="B528">
            <v>-10.7</v>
          </cell>
          <cell r="C528">
            <v>-2.5986516853932571</v>
          </cell>
          <cell r="D528">
            <v>11.86530201342282</v>
          </cell>
        </row>
        <row r="529">
          <cell r="B529">
            <v>-12.00442332208474</v>
          </cell>
          <cell r="C529">
            <v>-2.9591011235955165</v>
          </cell>
          <cell r="D529">
            <v>12.68</v>
          </cell>
        </row>
        <row r="530">
          <cell r="B530">
            <v>-10.6</v>
          </cell>
          <cell r="C530">
            <v>-4.7970786516853892</v>
          </cell>
          <cell r="D530">
            <v>10.738456375838922</v>
          </cell>
        </row>
        <row r="531">
          <cell r="B531">
            <v>-11</v>
          </cell>
          <cell r="C531">
            <v>-4.6108988764044909</v>
          </cell>
          <cell r="D531">
            <v>10.217785234899324</v>
          </cell>
        </row>
        <row r="532">
          <cell r="B532">
            <v>-10.35</v>
          </cell>
          <cell r="C532">
            <v>-6.1594382022471912</v>
          </cell>
          <cell r="D532">
            <v>9.4673825503355715</v>
          </cell>
        </row>
        <row r="533">
          <cell r="B533">
            <v>-10.050000000000001</v>
          </cell>
          <cell r="C533">
            <v>-5.5994382022471925</v>
          </cell>
          <cell r="D533">
            <v>9.0084563758389216</v>
          </cell>
        </row>
        <row r="534">
          <cell r="B534">
            <v>-8.7534339868766438</v>
          </cell>
          <cell r="C534">
            <v>-4.6594382022471912</v>
          </cell>
          <cell r="D534">
            <v>9.0393959731543596</v>
          </cell>
        </row>
        <row r="535">
          <cell r="B535">
            <v>-8.15</v>
          </cell>
          <cell r="C535">
            <v>-6.8883146067415737</v>
          </cell>
          <cell r="D535">
            <v>9.7841610738255049</v>
          </cell>
        </row>
        <row r="536">
          <cell r="B536">
            <v>-8.4499999999999993</v>
          </cell>
          <cell r="C536">
            <v>-7.7106741573033695</v>
          </cell>
          <cell r="D536">
            <v>10.492684563758392</v>
          </cell>
        </row>
        <row r="537">
          <cell r="B537">
            <v>-7.65</v>
          </cell>
          <cell r="C537">
            <v>-11.147191011235959</v>
          </cell>
          <cell r="D537">
            <v>10.759261744966441</v>
          </cell>
        </row>
        <row r="538">
          <cell r="B538">
            <v>-9.057003104049496</v>
          </cell>
          <cell r="C538">
            <v>-10.407191011235955</v>
          </cell>
          <cell r="D538">
            <v>10.924697986577179</v>
          </cell>
        </row>
        <row r="539">
          <cell r="B539">
            <v>-9.8000000000000007</v>
          </cell>
          <cell r="C539">
            <v>-8.7824719101123563</v>
          </cell>
          <cell r="D539">
            <v>11.683825503355706</v>
          </cell>
        </row>
        <row r="540">
          <cell r="B540">
            <v>-9.9499999999999993</v>
          </cell>
          <cell r="C540">
            <v>-8.3024719101123559</v>
          </cell>
          <cell r="D540">
            <v>11.631812080536911</v>
          </cell>
        </row>
        <row r="541">
          <cell r="B541">
            <v>-9.4492650918635182</v>
          </cell>
          <cell r="C541">
            <v>-8.1105617977528048</v>
          </cell>
          <cell r="D541">
            <v>13.042013422818787</v>
          </cell>
        </row>
        <row r="542">
          <cell r="B542">
            <v>-9</v>
          </cell>
          <cell r="C542">
            <v>-10.066741573033706</v>
          </cell>
          <cell r="D542">
            <v>8.9398657718120802</v>
          </cell>
        </row>
        <row r="543">
          <cell r="B543">
            <v>-9.6</v>
          </cell>
          <cell r="C543">
            <v>-11.065393258426969</v>
          </cell>
          <cell r="D543">
            <v>7.7401342281879195</v>
          </cell>
        </row>
        <row r="544">
          <cell r="B544">
            <v>-9.4</v>
          </cell>
          <cell r="C544">
            <v>-13.202471910112365</v>
          </cell>
          <cell r="D544">
            <v>6.4653691275167731</v>
          </cell>
        </row>
        <row r="545">
          <cell r="B545">
            <v>-8.6536920384951799</v>
          </cell>
          <cell r="C545">
            <v>-14.049101123595513</v>
          </cell>
          <cell r="D545">
            <v>6.6104697986577179</v>
          </cell>
        </row>
        <row r="546">
          <cell r="B546">
            <v>-9.25</v>
          </cell>
          <cell r="C546">
            <v>-14.308651685393254</v>
          </cell>
          <cell r="D546">
            <v>5.8795973154362358</v>
          </cell>
        </row>
        <row r="547">
          <cell r="B547">
            <v>-9.1999999999999993</v>
          </cell>
          <cell r="C547">
            <v>-14.702921348314611</v>
          </cell>
          <cell r="D547">
            <v>5.306442953020138</v>
          </cell>
        </row>
        <row r="548">
          <cell r="B548">
            <v>-10.15</v>
          </cell>
          <cell r="C548">
            <v>-15.238651685393261</v>
          </cell>
          <cell r="D548">
            <v>5.7840268456375838</v>
          </cell>
        </row>
        <row r="549">
          <cell r="B549">
            <v>-8.3000000000000007</v>
          </cell>
          <cell r="C549">
            <v>-12.611011235955051</v>
          </cell>
          <cell r="D549">
            <v>3.7567785234899347</v>
          </cell>
        </row>
        <row r="550">
          <cell r="B550">
            <v>-8.0500000000000007</v>
          </cell>
          <cell r="C550">
            <v>-10.481011235955055</v>
          </cell>
          <cell r="D550">
            <v>3.9499999999999993</v>
          </cell>
        </row>
      </sheetData>
      <sheetData sheetId="53"/>
      <sheetData sheetId="54">
        <row r="1">
          <cell r="A1"/>
        </row>
      </sheetData>
      <sheetData sheetId="55"/>
      <sheetData sheetId="56"/>
      <sheetData sheetId="57"/>
      <sheetData sheetId="58"/>
      <sheetData sheetId="59">
        <row r="2">
          <cell r="C2"/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">
          <cell r="C1">
            <v>44383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 BS-OFF "/>
      <sheetName val="EBRD FC"/>
      <sheetName val="BS"/>
      <sheetName val="BS-Off"/>
      <sheetName val="Capital ratios"/>
      <sheetName val="BS FM"/>
      <sheetName val="RW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t blend Tejari+LME VGO 1%"/>
      <sheetName val="2nd blend Tej+Iraq+Ilskiy"/>
      <sheetName val="3rd Tej+Iraq+LME FO 1%"/>
      <sheetName val="4th blend Tej+Iraq+VGO 0.1%"/>
      <sheetName val="5th blend Tej+Iraq+Tol VGO"/>
      <sheetName val="6th blend Iraq+Ilskiy"/>
      <sheetName val="7th blend Iraq+Slavy "/>
      <sheetName val="8th blend Iraq+LME FO 1%"/>
      <sheetName val="9th blend Iraq+LME VGO 0.1%"/>
      <sheetName val="10th blend Iraq+LME VGO 1%"/>
      <sheetName val="11th blend Iraq+LCO"/>
      <sheetName val="12th blend Iraq+Turkmen"/>
      <sheetName val="13th blend Iraq+Tolling VGO"/>
      <sheetName val="14th blend Iraq+Ilskiy+VGO 0.1%"/>
      <sheetName val="15th blend Iraq+Ilskiy+Turkmen"/>
      <sheetName val="16th blend Iraq+Ilskiy+Tolling"/>
      <sheetName val="17th blend Iraq+Ilskiy+Gimex"/>
      <sheetName val="18th blend Ir+Slav+FO1%+VGO 0.1"/>
      <sheetName val="19th blend Slav+LME VGO 1%"/>
      <sheetName val="Hellenic Blends "/>
    </sheetNames>
    <definedNames>
      <definedName name="DataFO" refersTo="#REF!"/>
      <definedName name="DataGO" refersTo="#REF!"/>
      <definedName name="DataNap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pian"/>
      <sheetName val="HISTO"/>
      <sheetName val="Controls"/>
    </sheetNames>
    <sheetDataSet>
      <sheetData sheetId="0"/>
      <sheetData sheetId="1">
        <row r="4">
          <cell r="A4" t="str">
            <v>Row Labels</v>
          </cell>
        </row>
      </sheetData>
      <sheetData sheetId="2">
        <row r="2">
          <cell r="A2" t="str">
            <v>01</v>
          </cell>
          <cell r="D2">
            <v>43651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https://sgs-my.sharepoint.com/personal/vitali_makarov_sgs_com/Documents/Ops_Calc/HB%20Calc%20(V)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6507-F47A-43DB-A019-ECB6C172A71F}">
  <dimension ref="B1:AS224"/>
  <sheetViews>
    <sheetView showGridLines="0" showZeros="0" tabSelected="1" topLeftCell="F4" zoomScale="88" zoomScaleNormal="115" zoomScaleSheetLayoutView="75" workbookViewId="0">
      <selection activeCell="K15" sqref="K15"/>
    </sheetView>
  </sheetViews>
  <sheetFormatPr defaultColWidth="9" defaultRowHeight="10.199999999999999" outlineLevelRow="1" outlineLevelCol="1"/>
  <cols>
    <col min="1" max="1" width="1.8984375" style="3" bestFit="1" customWidth="1"/>
    <col min="2" max="2" width="17.09765625" style="1" customWidth="1"/>
    <col min="3" max="3" width="11.3984375" style="1" bestFit="1" customWidth="1"/>
    <col min="4" max="4" width="9.796875" style="3" customWidth="1"/>
    <col min="5" max="5" width="10.69921875" style="3" customWidth="1"/>
    <col min="6" max="6" width="12.796875" style="3" customWidth="1"/>
    <col min="7" max="8" width="6.796875" style="3" hidden="1" customWidth="1"/>
    <col min="9" max="9" width="8.296875" style="3" customWidth="1"/>
    <col min="10" max="13" width="15.296875" style="3" customWidth="1" outlineLevel="1"/>
    <col min="14" max="14" width="16.3984375" style="3" customWidth="1" outlineLevel="1"/>
    <col min="15" max="15" width="15.296875" style="3" customWidth="1" outlineLevel="1"/>
    <col min="16" max="16" width="14.796875" style="3" customWidth="1" outlineLevel="1"/>
    <col min="17" max="17" width="13.5" style="3" customWidth="1" outlineLevel="1"/>
    <col min="18" max="20" width="18.19921875" style="3" customWidth="1" outlineLevel="1"/>
    <col min="21" max="28" width="6.59765625" style="3" customWidth="1" outlineLevel="1"/>
    <col min="29" max="29" width="18.19921875" style="3" bestFit="1" customWidth="1" outlineLevel="1"/>
    <col min="30" max="30" width="7.59765625" style="3" bestFit="1" customWidth="1" outlineLevel="1"/>
    <col min="31" max="31" width="6.296875" style="3" bestFit="1" customWidth="1" outlineLevel="1"/>
    <col min="32" max="33" width="8.3984375" style="3" bestFit="1" customWidth="1" outlineLevel="1"/>
    <col min="34" max="34" width="23.19921875" style="3" bestFit="1" customWidth="1" outlineLevel="1"/>
    <col min="35" max="37" width="6.59765625" style="3" customWidth="1" outlineLevel="1"/>
    <col min="38" max="38" width="9.59765625" style="3" bestFit="1" customWidth="1"/>
    <col min="39" max="39" width="10.296875" style="3" customWidth="1"/>
    <col min="40" max="40" width="27.796875" style="3" bestFit="1" customWidth="1"/>
    <col min="41" max="43" width="9.59765625" style="3" bestFit="1" customWidth="1"/>
    <col min="44" max="16384" width="9" style="3"/>
  </cols>
  <sheetData>
    <row r="1" spans="2:44" ht="11.25" hidden="1" customHeight="1">
      <c r="C1" s="2"/>
      <c r="AB1" s="3" t="s">
        <v>0</v>
      </c>
    </row>
    <row r="2" spans="2:44" ht="24.6">
      <c r="J2" s="4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2:44">
      <c r="C3" s="5"/>
      <c r="F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2:44">
      <c r="F4" s="6"/>
      <c r="N4" s="8"/>
      <c r="O4" s="8"/>
      <c r="P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2:44" s="16" customFormat="1" ht="13.2">
      <c r="B5" s="9"/>
      <c r="C5" s="9"/>
      <c r="D5" s="10"/>
      <c r="E5" s="11"/>
      <c r="F5" s="12" t="s">
        <v>2</v>
      </c>
      <c r="G5" s="13"/>
      <c r="H5" s="13"/>
      <c r="I5" s="13"/>
      <c r="J5" s="14"/>
      <c r="K5" s="14"/>
      <c r="L5" s="14"/>
      <c r="M5" s="1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M5" s="3"/>
      <c r="AN5" s="3"/>
      <c r="AO5" s="3"/>
    </row>
    <row r="6" spans="2:44" s="16" customFormat="1" ht="13.2">
      <c r="B6" s="9"/>
      <c r="C6" s="9"/>
      <c r="D6" s="10"/>
      <c r="E6" s="11"/>
      <c r="F6" s="12"/>
      <c r="G6" s="13"/>
      <c r="H6" s="13"/>
      <c r="I6" s="13"/>
      <c r="J6" s="14" t="s">
        <v>3</v>
      </c>
      <c r="K6" s="14" t="s">
        <v>4</v>
      </c>
      <c r="L6" s="14" t="s">
        <v>4</v>
      </c>
      <c r="M6" s="14" t="s">
        <v>4</v>
      </c>
      <c r="N6" s="15" t="s">
        <v>136</v>
      </c>
      <c r="O6" s="15" t="s">
        <v>5</v>
      </c>
      <c r="P6" s="15" t="s">
        <v>134</v>
      </c>
      <c r="Q6" s="15" t="s">
        <v>135</v>
      </c>
      <c r="R6" s="15" t="s">
        <v>137</v>
      </c>
      <c r="S6" s="15" t="s">
        <v>138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M6" s="3"/>
      <c r="AN6" s="3"/>
      <c r="AO6" s="3"/>
    </row>
    <row r="7" spans="2:44" s="16" customFormat="1" hidden="1">
      <c r="B7" s="9"/>
      <c r="C7" s="9"/>
      <c r="D7" s="10"/>
      <c r="E7" s="17" t="s">
        <v>6</v>
      </c>
      <c r="F7" s="18">
        <f>SUM(J7:M7)</f>
        <v>125219</v>
      </c>
      <c r="G7" s="18"/>
      <c r="H7" s="18"/>
      <c r="I7" s="18"/>
      <c r="J7" s="18">
        <f>13316</f>
        <v>13316</v>
      </c>
      <c r="K7" s="18">
        <f>30431</f>
        <v>30431</v>
      </c>
      <c r="L7" s="18">
        <f>40705</f>
        <v>40705</v>
      </c>
      <c r="M7" s="18">
        <f>40767</f>
        <v>40767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M7" s="3"/>
      <c r="AN7" s="3"/>
      <c r="AO7" s="3"/>
    </row>
    <row r="8" spans="2:44" s="16" customFormat="1" hidden="1">
      <c r="B8" s="9"/>
      <c r="C8" s="9"/>
      <c r="D8" s="10"/>
      <c r="E8" s="17" t="s">
        <v>7</v>
      </c>
      <c r="F8" s="18"/>
      <c r="G8" s="18"/>
      <c r="H8" s="18"/>
      <c r="I8" s="18"/>
      <c r="J8" s="18"/>
      <c r="K8" s="19"/>
      <c r="L8" s="19">
        <v>45.1</v>
      </c>
      <c r="M8" s="19">
        <v>45.5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M8" s="3"/>
      <c r="AN8" s="3"/>
      <c r="AO8" s="3"/>
    </row>
    <row r="9" spans="2:44" s="16" customFormat="1" hidden="1">
      <c r="B9" s="9"/>
      <c r="C9" s="9"/>
      <c r="D9" s="10"/>
      <c r="E9" s="17" t="s">
        <v>8</v>
      </c>
      <c r="F9" s="18"/>
      <c r="G9" s="18"/>
      <c r="H9" s="18"/>
      <c r="I9" s="18"/>
      <c r="J9" s="18"/>
      <c r="K9" s="20"/>
      <c r="L9" s="20">
        <v>0.93879999999999997</v>
      </c>
      <c r="M9" s="19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M9" s="3"/>
      <c r="AN9" s="3"/>
      <c r="AO9" s="3"/>
    </row>
    <row r="10" spans="2:44" s="16" customFormat="1" hidden="1">
      <c r="B10" s="9"/>
      <c r="C10" s="9"/>
      <c r="D10" s="10"/>
      <c r="E10" s="17" t="s">
        <v>9</v>
      </c>
      <c r="F10" s="18"/>
      <c r="G10" s="18"/>
      <c r="H10" s="18"/>
      <c r="I10" s="18"/>
      <c r="J10" s="18"/>
      <c r="K10" s="19"/>
      <c r="L10" s="19">
        <f>L7*(L9-0.0011)</f>
        <v>38169.078499999996</v>
      </c>
      <c r="M10" s="1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M10" s="3"/>
      <c r="AN10" s="3"/>
      <c r="AO10" s="3"/>
    </row>
    <row r="11" spans="2:44">
      <c r="B11" s="9"/>
      <c r="C11" s="9"/>
      <c r="D11" s="9"/>
      <c r="E11" s="17" t="s">
        <v>10</v>
      </c>
      <c r="F11" s="18">
        <f>SUM(J11:M11)</f>
        <v>119135.7966</v>
      </c>
      <c r="G11" s="21"/>
      <c r="H11" s="21"/>
      <c r="I11" s="21"/>
      <c r="J11" s="22">
        <f>13316*(J28-0.0011)</f>
        <v>12502.392399999999</v>
      </c>
      <c r="K11" s="22">
        <f>30431*(K28-0.0011)</f>
        <v>28982.484400000001</v>
      </c>
      <c r="L11" s="22">
        <f>40705*(L28-0.0011)</f>
        <v>38824.428999999996</v>
      </c>
      <c r="M11" s="22">
        <f>40767*(M28-0.0011)</f>
        <v>38826.4908</v>
      </c>
      <c r="N11" s="22">
        <f>40767*(N28-0.0011)</f>
        <v>38618.579100000003</v>
      </c>
      <c r="O11" s="22">
        <f>40767*(O28-0.0011)</f>
        <v>37004.205900000001</v>
      </c>
      <c r="P11" s="23">
        <v>35000</v>
      </c>
      <c r="Q11" s="23">
        <v>35000</v>
      </c>
      <c r="R11" s="23">
        <v>50000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P11" s="16"/>
      <c r="AQ11" s="16"/>
      <c r="AR11" s="16"/>
    </row>
    <row r="12" spans="2:44">
      <c r="B12" s="9"/>
      <c r="C12" s="24"/>
      <c r="D12" s="24"/>
      <c r="E12" s="17" t="s">
        <v>11</v>
      </c>
      <c r="F12" s="18">
        <f>SUM(J12:M12)</f>
        <v>74735.943000000014</v>
      </c>
      <c r="G12" s="21"/>
      <c r="H12" s="21"/>
      <c r="I12" s="21"/>
      <c r="J12" s="22">
        <v>0</v>
      </c>
      <c r="K12" s="22">
        <v>16627.184000000001</v>
      </c>
      <c r="L12" s="22">
        <v>28959.015000000007</v>
      </c>
      <c r="M12" s="22">
        <v>29149.744000000006</v>
      </c>
      <c r="N12" s="25">
        <v>10000</v>
      </c>
      <c r="O12" s="25">
        <v>15000</v>
      </c>
      <c r="P12" s="25">
        <v>35000</v>
      </c>
      <c r="Q12" s="25">
        <v>35000</v>
      </c>
      <c r="R12" s="25">
        <v>50000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25"/>
      <c r="AK12" s="25"/>
      <c r="AP12" s="16"/>
      <c r="AQ12" s="16"/>
      <c r="AR12" s="16"/>
    </row>
    <row r="13" spans="2:44">
      <c r="B13" s="26"/>
      <c r="C13" s="9"/>
      <c r="D13" s="9"/>
      <c r="E13" s="17" t="s">
        <v>9</v>
      </c>
      <c r="F13" s="18">
        <f>SUM(J13:AK13)</f>
        <v>216022.63859999998</v>
      </c>
      <c r="G13" s="21"/>
      <c r="H13" s="21"/>
      <c r="I13" s="21"/>
      <c r="J13" s="18">
        <f>J11-J12</f>
        <v>12502.392399999999</v>
      </c>
      <c r="K13" s="18">
        <f>K11-K12</f>
        <v>12355.3004</v>
      </c>
      <c r="L13" s="18">
        <f>L11-L12</f>
        <v>9865.4139999999898</v>
      </c>
      <c r="M13" s="18">
        <f>M11-M12</f>
        <v>9676.7467999999935</v>
      </c>
      <c r="N13" s="27">
        <f t="shared" ref="N13:V13" si="0">N11-N12</f>
        <v>28618.579100000003</v>
      </c>
      <c r="O13" s="27">
        <f t="shared" si="0"/>
        <v>22004.205900000001</v>
      </c>
      <c r="P13" s="27">
        <v>35000</v>
      </c>
      <c r="Q13" s="27">
        <v>35000</v>
      </c>
      <c r="R13" s="27">
        <v>50000</v>
      </c>
      <c r="S13" s="27">
        <v>1000</v>
      </c>
      <c r="T13" s="27">
        <f t="shared" si="0"/>
        <v>0</v>
      </c>
      <c r="U13" s="27">
        <f t="shared" si="0"/>
        <v>0</v>
      </c>
      <c r="V13" s="27">
        <f t="shared" si="0"/>
        <v>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P13" s="16"/>
      <c r="AQ13" s="16"/>
      <c r="AR13" s="16"/>
    </row>
    <row r="14" spans="2:44" s="34" customFormat="1">
      <c r="B14" s="28"/>
      <c r="C14" s="29"/>
      <c r="D14" s="29"/>
      <c r="E14" s="30"/>
      <c r="F14" s="31"/>
      <c r="G14" s="32"/>
      <c r="H14" s="32"/>
      <c r="I14" s="32"/>
      <c r="J14" s="31"/>
      <c r="K14" s="31"/>
      <c r="L14" s="31"/>
      <c r="M14" s="31"/>
      <c r="N14" s="31">
        <v>17521</v>
      </c>
      <c r="O14" s="33">
        <v>21000</v>
      </c>
      <c r="P14" s="31">
        <v>35000</v>
      </c>
      <c r="Q14" s="31">
        <v>35000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P14" s="35"/>
      <c r="AQ14" s="35"/>
      <c r="AR14" s="35"/>
    </row>
    <row r="15" spans="2:44">
      <c r="B15" s="28"/>
      <c r="D15" s="1"/>
      <c r="E15" s="30"/>
      <c r="F15" s="31"/>
      <c r="G15" s="32"/>
      <c r="H15" s="32"/>
      <c r="I15" s="32"/>
      <c r="J15" s="31"/>
      <c r="K15" s="31"/>
      <c r="L15" s="31"/>
      <c r="M15" s="31"/>
      <c r="N15" s="33">
        <v>0</v>
      </c>
      <c r="O15" s="36">
        <v>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P15" s="16"/>
      <c r="AQ15" s="16"/>
      <c r="AR15" s="16"/>
    </row>
    <row r="16" spans="2:44" hidden="1">
      <c r="B16" s="28"/>
      <c r="D16" s="1"/>
      <c r="E16" s="30"/>
      <c r="F16" s="31"/>
      <c r="G16" s="32"/>
      <c r="H16" s="32"/>
      <c r="I16" s="32"/>
      <c r="J16" s="31"/>
      <c r="K16" s="31"/>
      <c r="L16" s="31"/>
      <c r="M16" s="3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P16" s="16"/>
      <c r="AQ16" s="16"/>
      <c r="AR16" s="16"/>
    </row>
    <row r="17" spans="2:45" hidden="1">
      <c r="B17" s="28"/>
      <c r="D17" s="1"/>
      <c r="E17" s="30"/>
      <c r="F17" s="31"/>
      <c r="G17" s="32"/>
      <c r="H17" s="32"/>
      <c r="I17" s="32"/>
      <c r="J17" s="31"/>
      <c r="M17" s="3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P17" s="16"/>
      <c r="AQ17" s="16"/>
      <c r="AR17" s="16"/>
    </row>
    <row r="18" spans="2:45" s="7" customFormat="1" hidden="1">
      <c r="B18" s="37"/>
      <c r="C18" s="38"/>
      <c r="D18" s="38"/>
      <c r="E18" s="39"/>
      <c r="J18" s="40">
        <f>L12</f>
        <v>28959.015000000007</v>
      </c>
      <c r="K18" s="40"/>
      <c r="L18" s="40">
        <v>19462.384000000009</v>
      </c>
      <c r="M18" s="40">
        <v>19371.379000000004</v>
      </c>
      <c r="N18" s="40">
        <v>15000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P18" s="40"/>
      <c r="AQ18" s="40"/>
      <c r="AR18" s="40"/>
    </row>
    <row r="19" spans="2:45" s="47" customFormat="1" ht="13.8">
      <c r="B19" s="26"/>
      <c r="C19" s="9">
        <v>0</v>
      </c>
      <c r="D19" s="41"/>
      <c r="E19" s="42" t="s">
        <v>12</v>
      </c>
      <c r="F19" s="43" t="str">
        <f>IF(SUM(I19:AK19)&gt;0,SUM(I19:AK19),"")</f>
        <v/>
      </c>
      <c r="G19" s="44"/>
      <c r="H19" s="44"/>
      <c r="I19" s="44"/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6">
        <v>0</v>
      </c>
      <c r="AM19" s="3"/>
      <c r="AN19" s="46"/>
      <c r="AO19" s="46"/>
      <c r="AP19" s="46"/>
      <c r="AQ19" s="46"/>
      <c r="AR19" s="46"/>
      <c r="AS19" s="46"/>
    </row>
    <row r="20" spans="2:45" s="47" customFormat="1" ht="15" hidden="1" customHeight="1">
      <c r="B20" s="26"/>
      <c r="C20" s="9"/>
      <c r="D20" s="10"/>
      <c r="E20" s="42"/>
      <c r="F20" s="48">
        <f>SUM(J20:AK20)</f>
        <v>0</v>
      </c>
      <c r="G20" s="13"/>
      <c r="H20" s="13"/>
      <c r="I20" s="13"/>
      <c r="J20" s="49">
        <f>IF(ISNUMBER(J19),ROUND(J19/J28,3),"")</f>
        <v>0</v>
      </c>
      <c r="K20" s="49">
        <f>IF(ISNUMBER(K19),ROUND(K19/K28,3),"")</f>
        <v>0</v>
      </c>
      <c r="L20" s="49">
        <f t="shared" ref="L20:AK20" si="1">IF(ISNUMBER(L19),ROUND(L19/L28,3),"")</f>
        <v>0</v>
      </c>
      <c r="M20" s="49">
        <f t="shared" si="1"/>
        <v>0</v>
      </c>
      <c r="N20" s="49">
        <f t="shared" si="1"/>
        <v>0</v>
      </c>
      <c r="O20" s="49">
        <f t="shared" si="1"/>
        <v>0</v>
      </c>
      <c r="P20" s="49">
        <f t="shared" si="1"/>
        <v>0</v>
      </c>
      <c r="Q20" s="49">
        <f t="shared" si="1"/>
        <v>0</v>
      </c>
      <c r="R20" s="49">
        <f t="shared" si="1"/>
        <v>0</v>
      </c>
      <c r="S20" s="49">
        <f t="shared" si="1"/>
        <v>0</v>
      </c>
      <c r="T20" s="49">
        <f t="shared" si="1"/>
        <v>0</v>
      </c>
      <c r="U20" s="49">
        <f t="shared" si="1"/>
        <v>0</v>
      </c>
      <c r="V20" s="49">
        <f t="shared" si="1"/>
        <v>0</v>
      </c>
      <c r="W20" s="49">
        <f t="shared" si="1"/>
        <v>0</v>
      </c>
      <c r="X20" s="49">
        <f t="shared" si="1"/>
        <v>0</v>
      </c>
      <c r="Y20" s="49">
        <f t="shared" si="1"/>
        <v>0</v>
      </c>
      <c r="Z20" s="49">
        <f t="shared" si="1"/>
        <v>0</v>
      </c>
      <c r="AA20" s="49">
        <f t="shared" si="1"/>
        <v>0</v>
      </c>
      <c r="AB20" s="49">
        <f t="shared" si="1"/>
        <v>0</v>
      </c>
      <c r="AC20" s="49">
        <f t="shared" si="1"/>
        <v>0</v>
      </c>
      <c r="AD20" s="49">
        <f t="shared" si="1"/>
        <v>0</v>
      </c>
      <c r="AE20" s="49">
        <f t="shared" si="1"/>
        <v>0</v>
      </c>
      <c r="AF20" s="49">
        <f t="shared" si="1"/>
        <v>0</v>
      </c>
      <c r="AG20" s="49">
        <f t="shared" si="1"/>
        <v>0</v>
      </c>
      <c r="AH20" s="49">
        <f t="shared" si="1"/>
        <v>0</v>
      </c>
      <c r="AI20" s="49">
        <f t="shared" si="1"/>
        <v>0</v>
      </c>
      <c r="AJ20" s="49">
        <f t="shared" si="1"/>
        <v>0</v>
      </c>
      <c r="AK20" s="49">
        <f t="shared" si="1"/>
        <v>0</v>
      </c>
      <c r="AL20" s="16"/>
      <c r="AM20" s="3"/>
      <c r="AN20" s="46"/>
      <c r="AO20" s="46"/>
      <c r="AP20" s="46"/>
      <c r="AQ20" s="46"/>
      <c r="AR20" s="46"/>
      <c r="AS20" s="46"/>
    </row>
    <row r="21" spans="2:45" s="47" customFormat="1" ht="15" hidden="1" customHeight="1">
      <c r="B21" s="26"/>
      <c r="C21" s="9"/>
      <c r="D21" s="10"/>
      <c r="E21" s="42"/>
      <c r="F21" s="48" t="str">
        <f>IF(ISNUMBER(F28),ROUND(F20*(F28-0.0011),3),"")</f>
        <v/>
      </c>
      <c r="G21" s="13"/>
      <c r="H21" s="13"/>
      <c r="I21" s="13"/>
      <c r="J21" s="49">
        <f t="shared" ref="J21:AK21" si="2">IF(ISNUMBER(J20),ROUND(J20*(J28-0.0011),3),"")</f>
        <v>0</v>
      </c>
      <c r="K21" s="49">
        <f t="shared" si="2"/>
        <v>0</v>
      </c>
      <c r="L21" s="49">
        <f t="shared" si="2"/>
        <v>0</v>
      </c>
      <c r="M21" s="49">
        <f t="shared" si="2"/>
        <v>0</v>
      </c>
      <c r="N21" s="49">
        <f t="shared" si="2"/>
        <v>0</v>
      </c>
      <c r="O21" s="49">
        <f t="shared" si="2"/>
        <v>0</v>
      </c>
      <c r="P21" s="49">
        <f t="shared" si="2"/>
        <v>0</v>
      </c>
      <c r="Q21" s="49">
        <f t="shared" si="2"/>
        <v>0</v>
      </c>
      <c r="R21" s="49">
        <f t="shared" si="2"/>
        <v>0</v>
      </c>
      <c r="S21" s="49">
        <f t="shared" si="2"/>
        <v>0</v>
      </c>
      <c r="T21" s="49">
        <f t="shared" si="2"/>
        <v>0</v>
      </c>
      <c r="U21" s="49">
        <f t="shared" si="2"/>
        <v>0</v>
      </c>
      <c r="V21" s="49">
        <f t="shared" si="2"/>
        <v>0</v>
      </c>
      <c r="W21" s="49">
        <f t="shared" si="2"/>
        <v>0</v>
      </c>
      <c r="X21" s="49">
        <f t="shared" si="2"/>
        <v>0</v>
      </c>
      <c r="Y21" s="49">
        <f t="shared" si="2"/>
        <v>0</v>
      </c>
      <c r="Z21" s="49">
        <f t="shared" si="2"/>
        <v>0</v>
      </c>
      <c r="AA21" s="49">
        <f t="shared" si="2"/>
        <v>0</v>
      </c>
      <c r="AB21" s="49">
        <f t="shared" si="2"/>
        <v>0</v>
      </c>
      <c r="AC21" s="49">
        <f t="shared" si="2"/>
        <v>0</v>
      </c>
      <c r="AD21" s="49">
        <f t="shared" si="2"/>
        <v>0</v>
      </c>
      <c r="AE21" s="49">
        <f t="shared" si="2"/>
        <v>0</v>
      </c>
      <c r="AF21" s="49">
        <f t="shared" si="2"/>
        <v>0</v>
      </c>
      <c r="AG21" s="49">
        <f t="shared" si="2"/>
        <v>0</v>
      </c>
      <c r="AH21" s="49">
        <f t="shared" si="2"/>
        <v>0</v>
      </c>
      <c r="AI21" s="49">
        <f t="shared" si="2"/>
        <v>0</v>
      </c>
      <c r="AJ21" s="49">
        <f t="shared" si="2"/>
        <v>0</v>
      </c>
      <c r="AK21" s="49">
        <f t="shared" si="2"/>
        <v>0</v>
      </c>
      <c r="AL21" s="16"/>
      <c r="AM21" s="3"/>
      <c r="AN21" s="46"/>
      <c r="AO21" s="46"/>
      <c r="AP21" s="46"/>
      <c r="AQ21" s="46"/>
      <c r="AR21" s="46"/>
      <c r="AS21" s="46"/>
    </row>
    <row r="22" spans="2:45" s="47" customFormat="1" ht="15" hidden="1" customHeight="1">
      <c r="B22" s="26"/>
      <c r="C22" s="9"/>
      <c r="D22" s="10"/>
      <c r="E22" s="42"/>
      <c r="F22" s="50" t="str">
        <f>IF(AND(ISNUMBER(F145),ISNUMBER(F20)),ROUND((F20*F145),0),"")</f>
        <v/>
      </c>
      <c r="G22" s="13"/>
      <c r="H22" s="13"/>
      <c r="I22" s="13"/>
      <c r="J22" s="51">
        <f t="shared" ref="J22:V22" si="3">IF(AND(ISNUMBER(J145),ISNUMBER(J20)),ROUND((J20*J145),0),"")</f>
        <v>0</v>
      </c>
      <c r="K22" s="51">
        <f t="shared" si="3"/>
        <v>0</v>
      </c>
      <c r="L22" s="51">
        <f t="shared" si="3"/>
        <v>0</v>
      </c>
      <c r="M22" s="51">
        <f t="shared" si="3"/>
        <v>0</v>
      </c>
      <c r="N22" s="51">
        <f t="shared" si="3"/>
        <v>0</v>
      </c>
      <c r="O22" s="51">
        <f t="shared" si="3"/>
        <v>0</v>
      </c>
      <c r="P22" s="51">
        <f t="shared" si="3"/>
        <v>0</v>
      </c>
      <c r="Q22" s="51">
        <f t="shared" si="3"/>
        <v>0</v>
      </c>
      <c r="R22" s="51">
        <f t="shared" si="3"/>
        <v>0</v>
      </c>
      <c r="S22" s="51">
        <f t="shared" si="3"/>
        <v>0</v>
      </c>
      <c r="T22" s="51">
        <f t="shared" si="3"/>
        <v>0</v>
      </c>
      <c r="U22" s="51">
        <f t="shared" si="3"/>
        <v>0</v>
      </c>
      <c r="V22" s="51">
        <f t="shared" si="3"/>
        <v>0</v>
      </c>
      <c r="W22" s="51" t="str">
        <f>IF(AND(ISNUMBER(X149),ISNUMBER(W20)),ROUND((W20*X149),0),"")</f>
        <v/>
      </c>
      <c r="X22" s="51" t="str">
        <f>IF(AND(ISNUMBER(Y149),ISNUMBER(X20)),ROUND((X20*Y149),0),"")</f>
        <v/>
      </c>
      <c r="Y22" s="51" t="str">
        <f>IF(AND(ISNUMBER(Z149),ISNUMBER(Y20)),ROUND((Y20*Z149),0),"")</f>
        <v/>
      </c>
      <c r="Z22" s="51" t="str">
        <f>IF(AND(ISNUMBER(Y149),ISNUMBER(Z20)),ROUND((Z20*Y149),0),"")</f>
        <v/>
      </c>
      <c r="AA22" s="51" t="str">
        <f>IF(AND(ISNUMBER(AA149),ISNUMBER(AA20)),ROUND((AA20*AA149),0),"")</f>
        <v/>
      </c>
      <c r="AB22" s="51" t="str">
        <f>IF(AND(ISNUMBER(AB149),ISNUMBER(AB20)),ROUND((AB20*AB149),0),"")</f>
        <v/>
      </c>
      <c r="AC22" s="51" t="str">
        <f>IF(AND(ISNUMBER(AC149),ISNUMBER(AC20)),ROUND((AC20*AC149),0),"")</f>
        <v/>
      </c>
      <c r="AD22" s="51" t="str">
        <f>IF(AND(ISNUMBER(AC149),ISNUMBER(AD20)),ROUND((AD20*AC149),0),"")</f>
        <v/>
      </c>
      <c r="AE22" s="51" t="str">
        <f>IF(AND(ISNUMBER(AD149),ISNUMBER(AE20)),ROUND((AE20*AD149),0),"")</f>
        <v/>
      </c>
      <c r="AF22" s="51">
        <f>IF(AND(ISNUMBER(AG145),ISNUMBER(AF20)),ROUND((AF20*AG145),0),"")</f>
        <v>0</v>
      </c>
      <c r="AG22" s="51">
        <f>IF(AND(ISNUMBER(AF145),ISNUMBER(AG20)),ROUND((AG20*AF145),0),"")</f>
        <v>0</v>
      </c>
      <c r="AH22" s="51" t="str">
        <f>IF(AND(ISNUMBER(AH149),ISNUMBER(AH20)),ROUND((AH20*AH149),0),"")</f>
        <v/>
      </c>
      <c r="AI22" s="51" t="str">
        <f>IF(AND(ISNUMBER(AI149),ISNUMBER(AI20)),ROUND((AI20*AI149),0),"")</f>
        <v/>
      </c>
      <c r="AJ22" s="51" t="str">
        <f>IF(AND(ISNUMBER(AJ149),ISNUMBER(AJ20)),ROUND((AJ20*AJ149),0),"")</f>
        <v/>
      </c>
      <c r="AK22" s="51">
        <f>IF(AND(ISNUMBER(AK145),ISNUMBER(AK20)),ROUND((AK20*AK145),0),"")</f>
        <v>0</v>
      </c>
      <c r="AL22" s="16"/>
      <c r="AM22" s="3"/>
      <c r="AN22" s="46"/>
      <c r="AO22" s="46"/>
      <c r="AP22" s="46"/>
      <c r="AQ22" s="46"/>
      <c r="AR22" s="46"/>
      <c r="AS22" s="46"/>
    </row>
    <row r="23" spans="2:45" s="47" customFormat="1" ht="33.75" hidden="1" customHeight="1">
      <c r="B23" s="26"/>
      <c r="C23" s="9"/>
      <c r="D23" s="10"/>
      <c r="E23" s="42"/>
      <c r="F23" s="50" t="s">
        <v>13</v>
      </c>
      <c r="G23" s="13"/>
      <c r="H23" s="13"/>
      <c r="I23" s="13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16"/>
      <c r="AM23" s="3"/>
      <c r="AN23" s="46"/>
      <c r="AO23" s="46"/>
      <c r="AP23" s="46"/>
      <c r="AQ23" s="46"/>
      <c r="AR23" s="46"/>
      <c r="AS23" s="46"/>
    </row>
    <row r="24" spans="2:45" s="47" customFormat="1" ht="13.8">
      <c r="B24" s="26"/>
      <c r="C24" s="52"/>
      <c r="D24" s="10"/>
      <c r="E24" s="42" t="s">
        <v>14</v>
      </c>
      <c r="F24" s="53">
        <f>SUM(J24:AK24)</f>
        <v>0</v>
      </c>
      <c r="G24" s="13">
        <f>SUM(K24:AL24)</f>
        <v>0</v>
      </c>
      <c r="H24" s="13"/>
      <c r="I24" s="13"/>
      <c r="J24" s="54">
        <f>IFERROR(IF(ISNUMBER(J19),J19/$F$19,""),0)</f>
        <v>0</v>
      </c>
      <c r="K24" s="54">
        <f>IFERROR(IF(ISNUMBER(K19),K19/$F$19,""),0)</f>
        <v>0</v>
      </c>
      <c r="L24" s="54">
        <f t="shared" ref="L24:AK24" si="4">IFERROR(IF(ISNUMBER(L19),L19/$F$19,""),0)</f>
        <v>0</v>
      </c>
      <c r="M24" s="54">
        <f t="shared" si="4"/>
        <v>0</v>
      </c>
      <c r="N24" s="54">
        <f t="shared" si="4"/>
        <v>0</v>
      </c>
      <c r="O24" s="54">
        <f t="shared" si="4"/>
        <v>0</v>
      </c>
      <c r="P24" s="54">
        <f t="shared" si="4"/>
        <v>0</v>
      </c>
      <c r="Q24" s="54">
        <f t="shared" si="4"/>
        <v>0</v>
      </c>
      <c r="R24" s="54">
        <f t="shared" si="4"/>
        <v>0</v>
      </c>
      <c r="S24" s="54">
        <f t="shared" si="4"/>
        <v>0</v>
      </c>
      <c r="T24" s="54">
        <f t="shared" si="4"/>
        <v>0</v>
      </c>
      <c r="U24" s="54">
        <f t="shared" si="4"/>
        <v>0</v>
      </c>
      <c r="V24" s="54">
        <f t="shared" si="4"/>
        <v>0</v>
      </c>
      <c r="W24" s="54">
        <f t="shared" si="4"/>
        <v>0</v>
      </c>
      <c r="X24" s="54">
        <f t="shared" si="4"/>
        <v>0</v>
      </c>
      <c r="Y24" s="54">
        <f t="shared" si="4"/>
        <v>0</v>
      </c>
      <c r="Z24" s="54">
        <f t="shared" si="4"/>
        <v>0</v>
      </c>
      <c r="AA24" s="54">
        <f t="shared" si="4"/>
        <v>0</v>
      </c>
      <c r="AB24" s="54">
        <f t="shared" si="4"/>
        <v>0</v>
      </c>
      <c r="AC24" s="54">
        <f t="shared" si="4"/>
        <v>0</v>
      </c>
      <c r="AD24" s="54">
        <f t="shared" si="4"/>
        <v>0</v>
      </c>
      <c r="AE24" s="54">
        <f t="shared" si="4"/>
        <v>0</v>
      </c>
      <c r="AF24" s="54">
        <f t="shared" si="4"/>
        <v>0</v>
      </c>
      <c r="AG24" s="54">
        <f t="shared" si="4"/>
        <v>0</v>
      </c>
      <c r="AH24" s="54">
        <f t="shared" si="4"/>
        <v>0</v>
      </c>
      <c r="AI24" s="54">
        <f t="shared" si="4"/>
        <v>0</v>
      </c>
      <c r="AJ24" s="54">
        <f t="shared" si="4"/>
        <v>0</v>
      </c>
      <c r="AK24" s="54">
        <f t="shared" si="4"/>
        <v>0</v>
      </c>
      <c r="AL24" s="3"/>
      <c r="AM24" s="3"/>
      <c r="AN24" s="46"/>
      <c r="AO24" s="46"/>
      <c r="AP24" s="46"/>
      <c r="AQ24" s="46"/>
      <c r="AR24" s="46"/>
      <c r="AS24" s="46"/>
    </row>
    <row r="25" spans="2:45" s="47" customFormat="1" ht="13.8" hidden="1">
      <c r="B25" s="26"/>
      <c r="C25" s="9"/>
      <c r="D25" s="10"/>
      <c r="E25" s="42"/>
      <c r="F25" s="53" t="s">
        <v>15</v>
      </c>
      <c r="G25" s="13"/>
      <c r="H25" s="13"/>
      <c r="I25" s="55"/>
      <c r="J25" s="54"/>
      <c r="K25" s="54"/>
      <c r="L25" s="54"/>
      <c r="M25" s="54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>
        <v>0</v>
      </c>
      <c r="AJ25" s="56"/>
      <c r="AK25" s="56"/>
      <c r="AL25" s="3"/>
      <c r="AM25" s="3"/>
      <c r="AN25" s="46"/>
      <c r="AO25" s="46"/>
      <c r="AP25" s="46"/>
      <c r="AQ25" s="46"/>
      <c r="AR25" s="46"/>
      <c r="AS25" s="46"/>
    </row>
    <row r="26" spans="2:45" s="47" customFormat="1" ht="13.8" hidden="1">
      <c r="B26" s="26"/>
      <c r="C26" s="9"/>
      <c r="D26" s="10"/>
      <c r="E26" s="57"/>
      <c r="F26" s="58" t="s">
        <v>16</v>
      </c>
      <c r="G26" s="59"/>
      <c r="H26" s="59"/>
      <c r="I26" s="60"/>
      <c r="J26" s="61"/>
      <c r="K26" s="61"/>
      <c r="L26" s="61"/>
      <c r="M26" s="61"/>
      <c r="N26" s="62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3"/>
      <c r="AM26" s="3"/>
      <c r="AN26" s="46"/>
      <c r="AO26" s="46"/>
      <c r="AP26" s="46"/>
      <c r="AQ26" s="46"/>
      <c r="AR26" s="46"/>
      <c r="AS26" s="46"/>
    </row>
    <row r="27" spans="2:45" s="47" customFormat="1" ht="24">
      <c r="B27" s="64" t="s">
        <v>17</v>
      </c>
      <c r="C27" s="64" t="s">
        <v>18</v>
      </c>
      <c r="D27" s="65" t="s">
        <v>19</v>
      </c>
      <c r="E27" s="66" t="s">
        <v>20</v>
      </c>
      <c r="F27" s="66" t="s">
        <v>21</v>
      </c>
      <c r="G27" s="67" t="s">
        <v>22</v>
      </c>
      <c r="H27" s="67" t="s">
        <v>23</v>
      </c>
      <c r="I27" s="67" t="s">
        <v>23</v>
      </c>
      <c r="J27" s="68" t="s">
        <v>24</v>
      </c>
      <c r="K27" s="68" t="s">
        <v>25</v>
      </c>
      <c r="L27" s="68" t="s">
        <v>26</v>
      </c>
      <c r="M27" s="68" t="s">
        <v>27</v>
      </c>
      <c r="N27" s="15" t="s">
        <v>136</v>
      </c>
      <c r="O27" s="15" t="s">
        <v>5</v>
      </c>
      <c r="P27" s="15" t="s">
        <v>134</v>
      </c>
      <c r="Q27" s="15" t="s">
        <v>135</v>
      </c>
      <c r="R27" s="15" t="s">
        <v>137</v>
      </c>
      <c r="S27" s="15" t="s">
        <v>138</v>
      </c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3"/>
      <c r="AM27" s="3"/>
      <c r="AN27" s="46"/>
      <c r="AO27" s="46"/>
      <c r="AP27" s="46"/>
      <c r="AQ27" s="46"/>
      <c r="AR27" s="46"/>
      <c r="AS27" s="46"/>
    </row>
    <row r="28" spans="2:45" s="47" customFormat="1" ht="13.8">
      <c r="B28" s="70" t="s">
        <v>28</v>
      </c>
      <c r="C28" s="71" t="s">
        <v>29</v>
      </c>
      <c r="D28" s="72" t="s">
        <v>30</v>
      </c>
      <c r="E28" s="73">
        <v>0.99099999999999999</v>
      </c>
      <c r="F28" s="74" t="str">
        <f>IF(COUNT($J$19:$AK$19)=COUNT(J28:AK28),IF(SUM(J19:AK19)&gt;0,ROUND(F19/F20,4),""),"n/a")</f>
        <v/>
      </c>
      <c r="G28" s="13" t="str">
        <f>IF(ISNUMBER(F28),0.0006,"")</f>
        <v/>
      </c>
      <c r="H28" s="13" t="str">
        <f>IF(ISNUMBER(F28),0.0015,"")</f>
        <v/>
      </c>
      <c r="I28" s="13" t="str">
        <f t="shared" ref="I28:I57" si="5">IF($I$27=$H$27,H28,IF($I$27=$G$27,G28,""))</f>
        <v/>
      </c>
      <c r="J28" s="75">
        <v>0.94</v>
      </c>
      <c r="K28" s="75">
        <v>0.95350000000000001</v>
      </c>
      <c r="L28" s="76">
        <v>0.95489999999999997</v>
      </c>
      <c r="M28" s="75">
        <v>0.95350000000000001</v>
      </c>
      <c r="N28" s="75">
        <v>0.94840000000000002</v>
      </c>
      <c r="O28" s="75">
        <v>0.90880000000000005</v>
      </c>
      <c r="P28" s="75">
        <v>0.94</v>
      </c>
      <c r="Q28" s="75">
        <v>0.94</v>
      </c>
      <c r="R28" s="75">
        <v>1.05</v>
      </c>
      <c r="S28" s="75">
        <v>0.9</v>
      </c>
      <c r="T28" s="75">
        <v>0.94</v>
      </c>
      <c r="U28" s="75">
        <v>0.94</v>
      </c>
      <c r="V28" s="75">
        <v>0.94</v>
      </c>
      <c r="W28" s="75">
        <v>0.94</v>
      </c>
      <c r="X28" s="75">
        <v>0.94</v>
      </c>
      <c r="Y28" s="75">
        <v>0.94</v>
      </c>
      <c r="Z28" s="75">
        <v>0.94</v>
      </c>
      <c r="AA28" s="75">
        <v>0.94</v>
      </c>
      <c r="AB28" s="75">
        <v>0.94</v>
      </c>
      <c r="AC28" s="75">
        <v>0.94</v>
      </c>
      <c r="AD28" s="75">
        <v>0.94</v>
      </c>
      <c r="AE28" s="75">
        <v>0.94</v>
      </c>
      <c r="AF28" s="75">
        <v>0.94</v>
      </c>
      <c r="AG28" s="75">
        <v>0.94</v>
      </c>
      <c r="AH28" s="75">
        <v>0.94</v>
      </c>
      <c r="AI28" s="75">
        <v>0.94</v>
      </c>
      <c r="AJ28" s="75">
        <v>0.94</v>
      </c>
      <c r="AK28" s="75">
        <v>0.94</v>
      </c>
      <c r="AL28" s="3"/>
      <c r="AM28" s="3"/>
      <c r="AN28" s="46"/>
      <c r="AO28" s="46"/>
      <c r="AP28" s="46"/>
      <c r="AQ28" s="46"/>
      <c r="AR28" s="46"/>
      <c r="AS28" s="46"/>
    </row>
    <row r="29" spans="2:45" ht="13.8">
      <c r="B29" s="70" t="s">
        <v>31</v>
      </c>
      <c r="C29" s="71" t="s">
        <v>32</v>
      </c>
      <c r="D29" s="72" t="s">
        <v>33</v>
      </c>
      <c r="E29" s="73">
        <v>380</v>
      </c>
      <c r="F29" s="77" t="str">
        <f>IF(COUNT($J$19:$AK$19)=COUNT(J29:AK29),IF(ISNUMBER(F151),ROUND((10^(10^F151)-0.8),3),""),"n/a")</f>
        <v/>
      </c>
      <c r="G29" s="78" t="str">
        <f>IF(ISNUMBER(F29),ROUND(F29*0.015,2),"")</f>
        <v/>
      </c>
      <c r="H29" s="78" t="str">
        <f>IF(ISNUMBER(F29),ROUND(F29*0.074,2),"")</f>
        <v/>
      </c>
      <c r="I29" s="78" t="str">
        <f t="shared" si="5"/>
        <v/>
      </c>
      <c r="J29" s="79">
        <v>310</v>
      </c>
      <c r="K29" s="79">
        <v>146.43700000000001</v>
      </c>
      <c r="L29" s="80">
        <v>132.083</v>
      </c>
      <c r="M29" s="79">
        <v>146.422</v>
      </c>
      <c r="N29" s="79">
        <v>196.2</v>
      </c>
      <c r="O29" s="79">
        <v>258</v>
      </c>
      <c r="P29" s="79">
        <v>280</v>
      </c>
      <c r="Q29" s="79">
        <v>20</v>
      </c>
      <c r="R29" s="79">
        <v>550</v>
      </c>
      <c r="S29" s="79">
        <v>100</v>
      </c>
      <c r="T29" s="81">
        <v>1</v>
      </c>
      <c r="U29" s="81">
        <v>1</v>
      </c>
      <c r="V29" s="81">
        <v>1</v>
      </c>
      <c r="W29" s="81">
        <v>1</v>
      </c>
      <c r="X29" s="81">
        <v>1</v>
      </c>
      <c r="Y29" s="81">
        <v>1</v>
      </c>
      <c r="Z29" s="81">
        <v>1</v>
      </c>
      <c r="AA29" s="81">
        <v>1</v>
      </c>
      <c r="AB29" s="81">
        <v>1</v>
      </c>
      <c r="AC29" s="81">
        <v>1</v>
      </c>
      <c r="AD29" s="81">
        <v>1</v>
      </c>
      <c r="AE29" s="81">
        <v>1</v>
      </c>
      <c r="AF29" s="81">
        <v>1</v>
      </c>
      <c r="AG29" s="81">
        <v>1</v>
      </c>
      <c r="AH29" s="81">
        <v>1</v>
      </c>
      <c r="AI29" s="81">
        <v>1</v>
      </c>
      <c r="AJ29" s="81">
        <v>1</v>
      </c>
      <c r="AK29" s="81">
        <v>1</v>
      </c>
      <c r="AN29" s="46"/>
      <c r="AO29" s="46"/>
      <c r="AP29" s="46"/>
      <c r="AQ29" s="46"/>
      <c r="AR29" s="46"/>
      <c r="AS29" s="46"/>
    </row>
    <row r="30" spans="2:45" s="47" customFormat="1" ht="12.75" customHeight="1">
      <c r="B30" s="70" t="s">
        <v>34</v>
      </c>
      <c r="C30" s="71" t="s">
        <v>35</v>
      </c>
      <c r="D30" s="72" t="s">
        <v>36</v>
      </c>
      <c r="E30" s="82">
        <v>0.5</v>
      </c>
      <c r="F30" s="83" t="str">
        <f>IF(COUNT($J$19:$AK$19)=COUNT(J30:AK30),IF(ISNUMBER(F152),ROUND(F152,2),""),"n/a")</f>
        <v/>
      </c>
      <c r="G30" s="78" t="str">
        <f>IF(ISNUMBER(F30),0.1,"")</f>
        <v/>
      </c>
      <c r="H30" s="78" t="str">
        <f>IF(ISNUMBER(F30),0.2,"")</f>
        <v/>
      </c>
      <c r="I30" s="78" t="str">
        <f t="shared" si="5"/>
        <v/>
      </c>
      <c r="J30" s="79">
        <v>0.1</v>
      </c>
      <c r="K30" s="79">
        <v>0.14000000000000001</v>
      </c>
      <c r="L30" s="80">
        <v>0.12</v>
      </c>
      <c r="M30" s="79">
        <v>0.14000000000000001</v>
      </c>
      <c r="N30" s="79">
        <v>0.2</v>
      </c>
      <c r="O30" s="79">
        <v>0.1</v>
      </c>
      <c r="P30" s="79">
        <v>0.1</v>
      </c>
      <c r="Q30" s="79">
        <v>0.3</v>
      </c>
      <c r="R30" s="79">
        <v>0.2</v>
      </c>
      <c r="S30" s="79">
        <v>0.1</v>
      </c>
      <c r="T30" s="81">
        <v>1</v>
      </c>
      <c r="U30" s="81">
        <v>1</v>
      </c>
      <c r="V30" s="81">
        <v>1</v>
      </c>
      <c r="W30" s="81">
        <v>1</v>
      </c>
      <c r="X30" s="81">
        <v>1</v>
      </c>
      <c r="Y30" s="81">
        <v>1</v>
      </c>
      <c r="Z30" s="81">
        <v>1</v>
      </c>
      <c r="AA30" s="81">
        <v>1</v>
      </c>
      <c r="AB30" s="81">
        <v>1</v>
      </c>
      <c r="AC30" s="81">
        <v>1</v>
      </c>
      <c r="AD30" s="81">
        <v>1</v>
      </c>
      <c r="AE30" s="81">
        <v>1</v>
      </c>
      <c r="AF30" s="81">
        <v>1</v>
      </c>
      <c r="AG30" s="81">
        <v>1</v>
      </c>
      <c r="AH30" s="81">
        <v>1</v>
      </c>
      <c r="AI30" s="81">
        <v>1</v>
      </c>
      <c r="AJ30" s="81">
        <v>1</v>
      </c>
      <c r="AK30" s="81">
        <v>1</v>
      </c>
      <c r="AL30" s="3"/>
      <c r="AN30" s="46"/>
      <c r="AO30" s="46"/>
      <c r="AP30" s="46"/>
      <c r="AQ30" s="46"/>
      <c r="AR30" s="46"/>
      <c r="AS30" s="46"/>
    </row>
    <row r="31" spans="2:45" ht="13.8">
      <c r="B31" s="70" t="s">
        <v>37</v>
      </c>
      <c r="C31" s="71" t="s">
        <v>38</v>
      </c>
      <c r="D31" s="72" t="s">
        <v>39</v>
      </c>
      <c r="E31" s="84">
        <v>0.5</v>
      </c>
      <c r="F31" s="85" t="str">
        <f>IF(COUNT($J$19:$AK$19)=COUNT(J31:AK31),IF(ISNUMBER(F153),ROUND(F153,3),""),"n/a")</f>
        <v/>
      </c>
      <c r="G31" s="86" t="str">
        <f>IF(ISNUMBER(F31),0.02894*(F31+0.1691),"")</f>
        <v/>
      </c>
      <c r="H31" s="86" t="str">
        <f>IF(ISNUMBER(F31),0.1215*(F31+0.05555),"")</f>
        <v/>
      </c>
      <c r="I31" s="86" t="str">
        <f t="shared" si="5"/>
        <v/>
      </c>
      <c r="J31" s="87">
        <v>0.44500000000000001</v>
      </c>
      <c r="K31" s="87">
        <v>0.60099999999999998</v>
      </c>
      <c r="L31" s="88">
        <v>0.59499999999999997</v>
      </c>
      <c r="M31" s="87">
        <v>0.60099999999999998</v>
      </c>
      <c r="N31" s="87">
        <v>0.93300000000000005</v>
      </c>
      <c r="O31" s="87">
        <v>0.11700000000000001</v>
      </c>
      <c r="P31" s="79">
        <v>0.48</v>
      </c>
      <c r="Q31" s="79">
        <v>0.68</v>
      </c>
      <c r="R31" s="79">
        <v>1.01</v>
      </c>
      <c r="S31" s="79">
        <v>0.11</v>
      </c>
      <c r="T31" s="81">
        <v>1</v>
      </c>
      <c r="U31" s="81">
        <v>1</v>
      </c>
      <c r="V31" s="81">
        <v>1</v>
      </c>
      <c r="W31" s="81">
        <v>1</v>
      </c>
      <c r="X31" s="81">
        <v>1</v>
      </c>
      <c r="Y31" s="81">
        <v>1</v>
      </c>
      <c r="Z31" s="81">
        <v>1</v>
      </c>
      <c r="AA31" s="81">
        <v>1</v>
      </c>
      <c r="AB31" s="81">
        <v>1</v>
      </c>
      <c r="AC31" s="81">
        <v>1</v>
      </c>
      <c r="AD31" s="81">
        <v>1</v>
      </c>
      <c r="AE31" s="81">
        <v>1</v>
      </c>
      <c r="AF31" s="81">
        <v>1</v>
      </c>
      <c r="AG31" s="81">
        <v>1</v>
      </c>
      <c r="AH31" s="81">
        <v>1</v>
      </c>
      <c r="AI31" s="81">
        <v>1</v>
      </c>
      <c r="AJ31" s="81">
        <v>1</v>
      </c>
      <c r="AK31" s="81">
        <v>1</v>
      </c>
      <c r="AN31" s="46"/>
      <c r="AO31" s="46"/>
      <c r="AP31" s="46"/>
      <c r="AQ31" s="46"/>
      <c r="AR31" s="46"/>
      <c r="AS31" s="46"/>
    </row>
    <row r="32" spans="2:45" ht="12" customHeight="1">
      <c r="B32" s="70" t="s">
        <v>40</v>
      </c>
      <c r="C32" s="71" t="s">
        <v>41</v>
      </c>
      <c r="D32" s="72" t="s">
        <v>42</v>
      </c>
      <c r="E32" s="73">
        <v>60</v>
      </c>
      <c r="F32" s="83" t="str">
        <f>IF(COUNT($J$19:$AK$19)=COUNT(J32:AK32),IF(LEN(F154),ROUND((10^(0.05*(57-LOG(F154)))-492)/1.8,1),""),"n/a")</f>
        <v/>
      </c>
      <c r="G32" s="89" t="str">
        <f>IF(ISNUMBER(F32),0.029*F32,"")</f>
        <v/>
      </c>
      <c r="H32" s="89" t="str">
        <f>IF(ISNUMBER(F32),0.071*F32,"")</f>
        <v/>
      </c>
      <c r="I32" s="89" t="str">
        <f t="shared" si="5"/>
        <v/>
      </c>
      <c r="J32" s="79">
        <v>109</v>
      </c>
      <c r="K32" s="79">
        <v>89</v>
      </c>
      <c r="L32" s="80">
        <v>82</v>
      </c>
      <c r="M32" s="79">
        <v>100</v>
      </c>
      <c r="N32" s="79">
        <v>100</v>
      </c>
      <c r="O32" s="79">
        <v>40</v>
      </c>
      <c r="P32" s="79">
        <v>68</v>
      </c>
      <c r="Q32" s="79">
        <v>61</v>
      </c>
      <c r="R32" s="79">
        <v>120</v>
      </c>
      <c r="S32" s="79">
        <v>60</v>
      </c>
      <c r="T32" s="81">
        <v>1</v>
      </c>
      <c r="U32" s="81">
        <v>1</v>
      </c>
      <c r="V32" s="81">
        <v>1</v>
      </c>
      <c r="W32" s="81">
        <v>1</v>
      </c>
      <c r="X32" s="81">
        <v>1</v>
      </c>
      <c r="Y32" s="81">
        <v>1</v>
      </c>
      <c r="Z32" s="81">
        <v>1</v>
      </c>
      <c r="AA32" s="81">
        <v>1</v>
      </c>
      <c r="AB32" s="81">
        <v>1</v>
      </c>
      <c r="AC32" s="81">
        <v>1</v>
      </c>
      <c r="AD32" s="81">
        <v>1</v>
      </c>
      <c r="AE32" s="81">
        <v>1</v>
      </c>
      <c r="AF32" s="81">
        <v>1</v>
      </c>
      <c r="AG32" s="81">
        <v>1</v>
      </c>
      <c r="AH32" s="81">
        <v>1</v>
      </c>
      <c r="AI32" s="81">
        <v>1</v>
      </c>
      <c r="AJ32" s="81">
        <v>1</v>
      </c>
      <c r="AK32" s="81">
        <v>1</v>
      </c>
      <c r="AN32" s="46"/>
      <c r="AO32" s="46"/>
      <c r="AP32" s="46"/>
      <c r="AQ32" s="46"/>
      <c r="AR32" s="46"/>
      <c r="AS32" s="46"/>
    </row>
    <row r="33" spans="2:45" ht="13.8">
      <c r="B33" s="70" t="s">
        <v>43</v>
      </c>
      <c r="C33" s="71" t="s">
        <v>44</v>
      </c>
      <c r="D33" s="72" t="s">
        <v>42</v>
      </c>
      <c r="E33" s="73">
        <v>30</v>
      </c>
      <c r="F33" s="77" t="str">
        <f>IF(COUNT($J$19:$AK$19)=COUNT(J33:AK33),IF(LEN(F155),ROUND((1350/(7-LOG(F155)))-273,1),""),"n/a")</f>
        <v/>
      </c>
      <c r="G33" s="90" t="str">
        <f>IF(ISNUMBER(F33),2.52,"")</f>
        <v/>
      </c>
      <c r="H33" s="90" t="str">
        <f>IF(ISNUMBER(F33),6.59,"")</f>
        <v/>
      </c>
      <c r="I33" s="90" t="str">
        <f t="shared" si="5"/>
        <v/>
      </c>
      <c r="J33" s="81">
        <v>30</v>
      </c>
      <c r="K33" s="79">
        <v>13.8</v>
      </c>
      <c r="L33" s="91">
        <v>11.5</v>
      </c>
      <c r="M33" s="79">
        <v>13.9</v>
      </c>
      <c r="N33" s="91">
        <v>6</v>
      </c>
      <c r="O33" s="79">
        <v>42</v>
      </c>
      <c r="P33" s="79">
        <v>20</v>
      </c>
      <c r="Q33" s="79">
        <v>30</v>
      </c>
      <c r="R33" s="79">
        <v>0</v>
      </c>
      <c r="S33" s="79">
        <v>22</v>
      </c>
      <c r="T33" s="81">
        <v>1</v>
      </c>
      <c r="U33" s="81">
        <v>1</v>
      </c>
      <c r="V33" s="81">
        <v>1</v>
      </c>
      <c r="W33" s="81">
        <v>1</v>
      </c>
      <c r="X33" s="81">
        <v>1</v>
      </c>
      <c r="Y33" s="81">
        <v>1</v>
      </c>
      <c r="Z33" s="81">
        <v>1</v>
      </c>
      <c r="AA33" s="81">
        <v>1</v>
      </c>
      <c r="AB33" s="81">
        <v>1</v>
      </c>
      <c r="AC33" s="81">
        <v>1</v>
      </c>
      <c r="AD33" s="81">
        <v>1</v>
      </c>
      <c r="AE33" s="81">
        <v>1</v>
      </c>
      <c r="AF33" s="81">
        <v>1</v>
      </c>
      <c r="AG33" s="81">
        <v>1</v>
      </c>
      <c r="AH33" s="81">
        <v>1</v>
      </c>
      <c r="AI33" s="81">
        <v>1</v>
      </c>
      <c r="AJ33" s="81">
        <v>1</v>
      </c>
      <c r="AK33" s="81">
        <v>1</v>
      </c>
      <c r="AN33" s="46"/>
      <c r="AO33" s="46"/>
      <c r="AP33" s="46"/>
      <c r="AQ33" s="46"/>
      <c r="AR33" s="46"/>
      <c r="AS33" s="46"/>
    </row>
    <row r="34" spans="2:45" ht="15" hidden="1" customHeight="1">
      <c r="B34" s="70" t="s">
        <v>45</v>
      </c>
      <c r="C34" s="71" t="s">
        <v>46</v>
      </c>
      <c r="D34" s="72" t="s">
        <v>47</v>
      </c>
      <c r="E34" s="73"/>
      <c r="F34" s="92" t="str">
        <f>IF(COUNT($J$19:$AK$19)=COUNT(J34:AK34),IF(ISNUMBER(F156),ROUND(F156/F157,3),""),"n/a")</f>
        <v>n/a</v>
      </c>
      <c r="G34" s="89" t="str">
        <f>IF(ISNUMBER(F34),ROUND(0.11*F34^0.67,2),"")</f>
        <v/>
      </c>
      <c r="H34" s="89" t="str">
        <f>IF(ISNUMBER(F34),ROUND(0.78*F34^0.67,2),"")</f>
        <v/>
      </c>
      <c r="I34" s="89" t="str">
        <f t="shared" si="5"/>
        <v/>
      </c>
      <c r="J34" s="93" t="s">
        <v>48</v>
      </c>
      <c r="K34" s="79" t="s">
        <v>48</v>
      </c>
      <c r="L34" s="94" t="s">
        <v>48</v>
      </c>
      <c r="M34" s="79" t="s">
        <v>48</v>
      </c>
      <c r="N34" s="91">
        <v>0</v>
      </c>
      <c r="O34" s="79"/>
      <c r="P34" s="79">
        <v>0</v>
      </c>
      <c r="Q34" s="79">
        <v>0</v>
      </c>
      <c r="R34" s="79">
        <v>0</v>
      </c>
      <c r="S34" s="79">
        <v>1</v>
      </c>
      <c r="T34" s="81">
        <v>1</v>
      </c>
      <c r="U34" s="81">
        <v>1</v>
      </c>
      <c r="V34" s="81">
        <v>1</v>
      </c>
      <c r="W34" s="81">
        <v>1</v>
      </c>
      <c r="X34" s="81">
        <v>1</v>
      </c>
      <c r="Y34" s="81">
        <v>1</v>
      </c>
      <c r="Z34" s="81">
        <v>1</v>
      </c>
      <c r="AA34" s="81">
        <v>1</v>
      </c>
      <c r="AB34" s="81">
        <v>1</v>
      </c>
      <c r="AC34" s="81">
        <v>1</v>
      </c>
      <c r="AD34" s="81">
        <v>1</v>
      </c>
      <c r="AE34" s="81">
        <v>1</v>
      </c>
      <c r="AF34" s="81">
        <v>1</v>
      </c>
      <c r="AG34" s="81">
        <v>1</v>
      </c>
      <c r="AH34" s="81">
        <v>1</v>
      </c>
      <c r="AI34" s="81">
        <v>1</v>
      </c>
      <c r="AJ34" s="81">
        <v>1</v>
      </c>
      <c r="AK34" s="81">
        <v>1</v>
      </c>
      <c r="AN34" s="46"/>
      <c r="AO34" s="46"/>
      <c r="AP34" s="46"/>
      <c r="AQ34" s="46"/>
      <c r="AR34" s="46"/>
      <c r="AS34" s="46"/>
    </row>
    <row r="35" spans="2:45" ht="15" hidden="1" customHeight="1">
      <c r="B35" s="70" t="s">
        <v>49</v>
      </c>
      <c r="C35" s="71" t="s">
        <v>50</v>
      </c>
      <c r="D35" s="72" t="s">
        <v>36</v>
      </c>
      <c r="E35" s="73"/>
      <c r="F35" s="92" t="str">
        <f>IF(COUNT($J$19:$AK$19)=COUNT(J35:AK35),IF(ISNUMBER(F157),ROUND(F157,2),""),"n/a")</f>
        <v>n/a</v>
      </c>
      <c r="G35" s="89"/>
      <c r="H35" s="89"/>
      <c r="I35" s="89">
        <f t="shared" si="5"/>
        <v>0</v>
      </c>
      <c r="J35" s="93" t="s">
        <v>48</v>
      </c>
      <c r="K35" s="79" t="s">
        <v>48</v>
      </c>
      <c r="L35" s="94" t="s">
        <v>48</v>
      </c>
      <c r="M35" s="79" t="s">
        <v>48</v>
      </c>
      <c r="N35" s="91">
        <v>0</v>
      </c>
      <c r="O35" s="79"/>
      <c r="P35" s="79">
        <v>0</v>
      </c>
      <c r="Q35" s="79">
        <v>0</v>
      </c>
      <c r="R35" s="79">
        <v>0</v>
      </c>
      <c r="S35" s="79">
        <v>1</v>
      </c>
      <c r="T35" s="81">
        <v>1</v>
      </c>
      <c r="U35" s="81">
        <v>1</v>
      </c>
      <c r="V35" s="81">
        <v>1</v>
      </c>
      <c r="W35" s="81">
        <v>1</v>
      </c>
      <c r="X35" s="81">
        <v>1</v>
      </c>
      <c r="Y35" s="81">
        <v>1</v>
      </c>
      <c r="Z35" s="81">
        <v>1</v>
      </c>
      <c r="AA35" s="81">
        <v>1</v>
      </c>
      <c r="AB35" s="81">
        <v>1</v>
      </c>
      <c r="AC35" s="81">
        <v>1</v>
      </c>
      <c r="AD35" s="81">
        <v>1</v>
      </c>
      <c r="AE35" s="81">
        <v>1</v>
      </c>
      <c r="AF35" s="81">
        <v>1</v>
      </c>
      <c r="AG35" s="81">
        <v>1</v>
      </c>
      <c r="AH35" s="81">
        <v>1</v>
      </c>
      <c r="AI35" s="81">
        <v>1</v>
      </c>
      <c r="AJ35" s="81">
        <v>1</v>
      </c>
      <c r="AK35" s="81">
        <v>1</v>
      </c>
      <c r="AN35" s="46"/>
      <c r="AO35" s="46"/>
      <c r="AP35" s="46"/>
      <c r="AQ35" s="46"/>
      <c r="AR35" s="46"/>
      <c r="AS35" s="46"/>
    </row>
    <row r="36" spans="2:45" ht="15" hidden="1" customHeight="1">
      <c r="B36" s="70" t="s">
        <v>51</v>
      </c>
      <c r="C36" s="71" t="s">
        <v>52</v>
      </c>
      <c r="D36" s="72"/>
      <c r="E36" s="73"/>
      <c r="F36" s="92" t="str">
        <f>IF(COUNT($J$19:$AK$19)=COUNT(J36:AK36),IF(ISNUMBER(F158),(ROUNDUP((1000/ROUND((10^(10^F158)+8.8),2)-1)*0.5,0)*2+1),""),"n/a")</f>
        <v>n/a</v>
      </c>
      <c r="G36" s="13"/>
      <c r="H36" s="13"/>
      <c r="I36" s="13">
        <f t="shared" si="5"/>
        <v>0</v>
      </c>
      <c r="J36" s="93" t="s">
        <v>48</v>
      </c>
      <c r="K36" s="79" t="s">
        <v>48</v>
      </c>
      <c r="L36" s="94" t="s">
        <v>48</v>
      </c>
      <c r="M36" s="79" t="s">
        <v>48</v>
      </c>
      <c r="N36" s="91">
        <v>0</v>
      </c>
      <c r="O36" s="79"/>
      <c r="P36" s="79">
        <v>0</v>
      </c>
      <c r="Q36" s="79">
        <v>0</v>
      </c>
      <c r="R36" s="79">
        <v>0</v>
      </c>
      <c r="S36" s="79">
        <v>1</v>
      </c>
      <c r="T36" s="81">
        <v>1</v>
      </c>
      <c r="U36" s="81">
        <v>1</v>
      </c>
      <c r="V36" s="81">
        <v>1</v>
      </c>
      <c r="W36" s="81">
        <v>1</v>
      </c>
      <c r="X36" s="81">
        <v>1</v>
      </c>
      <c r="Y36" s="81">
        <v>1</v>
      </c>
      <c r="Z36" s="81">
        <v>1</v>
      </c>
      <c r="AA36" s="81">
        <v>1</v>
      </c>
      <c r="AB36" s="81">
        <v>1</v>
      </c>
      <c r="AC36" s="81">
        <v>1</v>
      </c>
      <c r="AD36" s="81">
        <v>1</v>
      </c>
      <c r="AE36" s="81">
        <v>1</v>
      </c>
      <c r="AF36" s="81">
        <v>1</v>
      </c>
      <c r="AG36" s="81">
        <v>1</v>
      </c>
      <c r="AH36" s="81">
        <v>1</v>
      </c>
      <c r="AI36" s="81">
        <v>1</v>
      </c>
      <c r="AJ36" s="81">
        <v>1</v>
      </c>
      <c r="AK36" s="81">
        <v>1</v>
      </c>
      <c r="AN36" s="46"/>
      <c r="AO36" s="46"/>
      <c r="AP36" s="46"/>
      <c r="AQ36" s="46"/>
      <c r="AR36" s="46"/>
      <c r="AS36" s="46"/>
    </row>
    <row r="37" spans="2:45" ht="15" hidden="1" customHeight="1">
      <c r="B37" s="70" t="s">
        <v>53</v>
      </c>
      <c r="C37" s="71" t="s">
        <v>54</v>
      </c>
      <c r="D37" s="72"/>
      <c r="E37" s="73"/>
      <c r="F37" s="92" t="str">
        <f>IF(COUNT($J$19:$AK$19)=COUNT(J37:AK37),IF(ISNUMBER(F159),(ROUNDUP((1000/ROUND((10^(10^F159)+8.8),2)-1)*0.5,0)*2+1),""),"n/a")</f>
        <v>n/a</v>
      </c>
      <c r="G37" s="13"/>
      <c r="H37" s="13"/>
      <c r="I37" s="13">
        <f t="shared" si="5"/>
        <v>0</v>
      </c>
      <c r="J37" s="93" t="s">
        <v>48</v>
      </c>
      <c r="K37" s="79" t="s">
        <v>48</v>
      </c>
      <c r="L37" s="94" t="s">
        <v>48</v>
      </c>
      <c r="M37" s="79" t="s">
        <v>48</v>
      </c>
      <c r="N37" s="91">
        <v>0</v>
      </c>
      <c r="O37" s="79"/>
      <c r="P37" s="79">
        <v>0</v>
      </c>
      <c r="Q37" s="79">
        <v>0</v>
      </c>
      <c r="R37" s="79">
        <v>0</v>
      </c>
      <c r="S37" s="79">
        <v>1</v>
      </c>
      <c r="T37" s="81">
        <v>1</v>
      </c>
      <c r="U37" s="81">
        <v>1</v>
      </c>
      <c r="V37" s="81">
        <v>1</v>
      </c>
      <c r="W37" s="81">
        <v>1</v>
      </c>
      <c r="X37" s="81">
        <v>1</v>
      </c>
      <c r="Y37" s="81">
        <v>1</v>
      </c>
      <c r="Z37" s="81">
        <v>1</v>
      </c>
      <c r="AA37" s="81">
        <v>1</v>
      </c>
      <c r="AB37" s="81">
        <v>1</v>
      </c>
      <c r="AC37" s="81">
        <v>1</v>
      </c>
      <c r="AD37" s="81">
        <v>1</v>
      </c>
      <c r="AE37" s="81">
        <v>1</v>
      </c>
      <c r="AF37" s="81">
        <v>1</v>
      </c>
      <c r="AG37" s="81">
        <v>1</v>
      </c>
      <c r="AH37" s="81">
        <v>1</v>
      </c>
      <c r="AI37" s="81">
        <v>1</v>
      </c>
      <c r="AJ37" s="81">
        <v>1</v>
      </c>
      <c r="AK37" s="81">
        <v>1</v>
      </c>
      <c r="AN37" s="46"/>
      <c r="AO37" s="46"/>
      <c r="AP37" s="46"/>
      <c r="AQ37" s="46"/>
      <c r="AR37" s="46"/>
      <c r="AS37" s="46"/>
    </row>
    <row r="38" spans="2:45" ht="15" hidden="1" customHeight="1">
      <c r="B38" s="70" t="s">
        <v>55</v>
      </c>
      <c r="C38" s="71" t="s">
        <v>56</v>
      </c>
      <c r="D38" s="72"/>
      <c r="E38" s="73"/>
      <c r="F38" s="92" t="str">
        <f>IF(COUNT($J$19:$AK$19)=COUNT(J38:AK38),IF(ISNUMBER(F160),ROUNDDOWN(ROUND((10^(10^F160)--8.8)/20,2)*20,2)/20,""),"n/a")</f>
        <v>n/a</v>
      </c>
      <c r="G38" s="13"/>
      <c r="H38" s="13"/>
      <c r="I38" s="13">
        <f t="shared" si="5"/>
        <v>0</v>
      </c>
      <c r="J38" s="93" t="s">
        <v>48</v>
      </c>
      <c r="K38" s="79" t="s">
        <v>48</v>
      </c>
      <c r="L38" s="94" t="s">
        <v>48</v>
      </c>
      <c r="M38" s="79" t="s">
        <v>48</v>
      </c>
      <c r="N38" s="91">
        <v>0</v>
      </c>
      <c r="O38" s="79"/>
      <c r="P38" s="79">
        <v>0</v>
      </c>
      <c r="Q38" s="79">
        <v>0</v>
      </c>
      <c r="R38" s="79">
        <v>0</v>
      </c>
      <c r="S38" s="79">
        <v>1</v>
      </c>
      <c r="T38" s="81">
        <v>1</v>
      </c>
      <c r="U38" s="81">
        <v>1</v>
      </c>
      <c r="V38" s="81">
        <v>1</v>
      </c>
      <c r="W38" s="81">
        <v>1</v>
      </c>
      <c r="X38" s="81">
        <v>1</v>
      </c>
      <c r="Y38" s="81">
        <v>1</v>
      </c>
      <c r="Z38" s="81">
        <v>1</v>
      </c>
      <c r="AA38" s="81">
        <v>1</v>
      </c>
      <c r="AB38" s="81">
        <v>1</v>
      </c>
      <c r="AC38" s="81">
        <v>1</v>
      </c>
      <c r="AD38" s="81">
        <v>1</v>
      </c>
      <c r="AE38" s="81">
        <v>1</v>
      </c>
      <c r="AF38" s="81">
        <v>1</v>
      </c>
      <c r="AG38" s="81">
        <v>1</v>
      </c>
      <c r="AH38" s="81">
        <v>1</v>
      </c>
      <c r="AI38" s="81">
        <v>1</v>
      </c>
      <c r="AJ38" s="81">
        <v>1</v>
      </c>
      <c r="AK38" s="81">
        <v>1</v>
      </c>
      <c r="AN38" s="46"/>
      <c r="AO38" s="46"/>
      <c r="AP38" s="46"/>
      <c r="AQ38" s="46"/>
      <c r="AR38" s="46"/>
      <c r="AS38" s="46"/>
    </row>
    <row r="39" spans="2:45" ht="15" hidden="1" customHeight="1">
      <c r="B39" s="70" t="s">
        <v>57</v>
      </c>
      <c r="C39" s="71" t="s">
        <v>58</v>
      </c>
      <c r="D39" s="72" t="s">
        <v>59</v>
      </c>
      <c r="E39" s="73">
        <v>350</v>
      </c>
      <c r="F39" s="92" t="str">
        <f t="shared" ref="F39:F57" si="6">IF(COUNT($J$19:$AK$19)=COUNT(J39:AK39),IF(ISNUMBER(F161),ROUND(F161,2),""),"n/a")</f>
        <v>n/a</v>
      </c>
      <c r="G39" s="89" t="str">
        <f>IF(ISNUMBER(F39),ROUND(0.6549*F39^0.6,2),"n/a")</f>
        <v>n/a</v>
      </c>
      <c r="H39" s="89" t="str">
        <f>IF(ISNUMBER(F39),ROUND(1.6799*F39^0.6,2),"n/a")</f>
        <v>n/a</v>
      </c>
      <c r="I39" s="89" t="str">
        <f t="shared" si="5"/>
        <v>n/a</v>
      </c>
      <c r="J39" s="93" t="s">
        <v>48</v>
      </c>
      <c r="K39" s="79" t="s">
        <v>48</v>
      </c>
      <c r="L39" s="94" t="s">
        <v>48</v>
      </c>
      <c r="M39" s="79" t="s">
        <v>48</v>
      </c>
      <c r="N39" s="91">
        <v>0</v>
      </c>
      <c r="O39" s="79"/>
      <c r="P39" s="79">
        <v>0</v>
      </c>
      <c r="Q39" s="79">
        <v>0</v>
      </c>
      <c r="R39" s="79">
        <v>0</v>
      </c>
      <c r="S39" s="79">
        <v>1</v>
      </c>
      <c r="T39" s="81">
        <v>1</v>
      </c>
      <c r="U39" s="81">
        <v>1</v>
      </c>
      <c r="V39" s="81">
        <v>1</v>
      </c>
      <c r="W39" s="81">
        <v>1</v>
      </c>
      <c r="X39" s="81">
        <v>1</v>
      </c>
      <c r="Y39" s="81">
        <v>1</v>
      </c>
      <c r="Z39" s="81">
        <v>1</v>
      </c>
      <c r="AA39" s="81">
        <v>1</v>
      </c>
      <c r="AB39" s="81">
        <v>1</v>
      </c>
      <c r="AC39" s="81">
        <v>1</v>
      </c>
      <c r="AD39" s="81">
        <v>1</v>
      </c>
      <c r="AE39" s="81">
        <v>1</v>
      </c>
      <c r="AF39" s="81">
        <v>1</v>
      </c>
      <c r="AG39" s="81">
        <v>1</v>
      </c>
      <c r="AH39" s="81">
        <v>1</v>
      </c>
      <c r="AI39" s="81">
        <v>1</v>
      </c>
      <c r="AJ39" s="81">
        <v>1</v>
      </c>
      <c r="AK39" s="81">
        <v>1</v>
      </c>
      <c r="AN39" s="46"/>
      <c r="AO39" s="46"/>
      <c r="AP39" s="46"/>
      <c r="AQ39" s="46"/>
      <c r="AR39" s="46"/>
      <c r="AS39" s="46"/>
    </row>
    <row r="40" spans="2:45" ht="15" hidden="1" customHeight="1">
      <c r="B40" s="70" t="s">
        <v>60</v>
      </c>
      <c r="C40" s="71" t="s">
        <v>58</v>
      </c>
      <c r="D40" s="72" t="s">
        <v>59</v>
      </c>
      <c r="E40" s="73"/>
      <c r="F40" s="92" t="str">
        <f t="shared" si="6"/>
        <v>n/a</v>
      </c>
      <c r="G40" s="89" t="str">
        <f>IF(ISNUMBER(F40),ROUND(0.8153*F40^0.55,2),"n/a")</f>
        <v>n/a</v>
      </c>
      <c r="H40" s="89" t="str">
        <f>IF(ISNUMBER(F40),ROUND(1.6814*F40^0.55,2),"n/a")</f>
        <v>n/a</v>
      </c>
      <c r="I40" s="89" t="str">
        <f t="shared" si="5"/>
        <v>n/a</v>
      </c>
      <c r="J40" s="93" t="s">
        <v>48</v>
      </c>
      <c r="K40" s="79" t="s">
        <v>48</v>
      </c>
      <c r="L40" s="94" t="s">
        <v>48</v>
      </c>
      <c r="M40" s="79" t="s">
        <v>48</v>
      </c>
      <c r="N40" s="91">
        <v>0</v>
      </c>
      <c r="O40" s="79"/>
      <c r="P40" s="79">
        <v>0</v>
      </c>
      <c r="Q40" s="79">
        <v>0</v>
      </c>
      <c r="R40" s="79">
        <v>0</v>
      </c>
      <c r="S40" s="79">
        <v>1</v>
      </c>
      <c r="T40" s="81">
        <v>1</v>
      </c>
      <c r="U40" s="81">
        <v>1</v>
      </c>
      <c r="V40" s="81">
        <v>1</v>
      </c>
      <c r="W40" s="81">
        <v>1</v>
      </c>
      <c r="X40" s="81">
        <v>1</v>
      </c>
      <c r="Y40" s="81">
        <v>1</v>
      </c>
      <c r="Z40" s="81">
        <v>1</v>
      </c>
      <c r="AA40" s="81">
        <v>1</v>
      </c>
      <c r="AB40" s="81">
        <v>1</v>
      </c>
      <c r="AC40" s="81">
        <v>1</v>
      </c>
      <c r="AD40" s="81">
        <v>1</v>
      </c>
      <c r="AE40" s="81">
        <v>1</v>
      </c>
      <c r="AF40" s="81">
        <v>1</v>
      </c>
      <c r="AG40" s="81">
        <v>1</v>
      </c>
      <c r="AH40" s="81">
        <v>1</v>
      </c>
      <c r="AI40" s="81">
        <v>1</v>
      </c>
      <c r="AJ40" s="81">
        <v>1</v>
      </c>
      <c r="AK40" s="81">
        <v>1</v>
      </c>
      <c r="AN40" s="46"/>
      <c r="AO40" s="46"/>
      <c r="AP40" s="46"/>
      <c r="AQ40" s="46"/>
      <c r="AR40" s="46"/>
      <c r="AS40" s="46"/>
    </row>
    <row r="41" spans="2:45" ht="13.8">
      <c r="B41" s="70" t="s">
        <v>61</v>
      </c>
      <c r="C41" s="71" t="s">
        <v>58</v>
      </c>
      <c r="D41" s="72" t="s">
        <v>59</v>
      </c>
      <c r="E41" s="73">
        <v>35</v>
      </c>
      <c r="F41" s="77" t="str">
        <f t="shared" si="6"/>
        <v/>
      </c>
      <c r="G41" s="89" t="str">
        <f>IF(ISNUMBER(F41),ROUND(0.066*F41,2),"n/a")</f>
        <v>n/a</v>
      </c>
      <c r="H41" s="89" t="str">
        <f>IF(ISNUMBER(F41),ROUND(0.337*F41,2),"n/a")</f>
        <v>n/a</v>
      </c>
      <c r="I41" s="89" t="str">
        <f t="shared" si="5"/>
        <v>n/a</v>
      </c>
      <c r="J41" s="81">
        <v>12</v>
      </c>
      <c r="K41" s="79">
        <v>24.32</v>
      </c>
      <c r="L41" s="91">
        <v>27.77</v>
      </c>
      <c r="M41" s="79">
        <v>24.32</v>
      </c>
      <c r="N41" s="91">
        <v>23</v>
      </c>
      <c r="O41" s="79">
        <v>1</v>
      </c>
      <c r="P41" s="79">
        <v>25</v>
      </c>
      <c r="Q41" s="79">
        <v>25</v>
      </c>
      <c r="R41" s="79">
        <v>12</v>
      </c>
      <c r="S41" s="79">
        <v>1</v>
      </c>
      <c r="T41" s="81">
        <v>1</v>
      </c>
      <c r="U41" s="81">
        <v>1</v>
      </c>
      <c r="V41" s="81">
        <v>1</v>
      </c>
      <c r="W41" s="81">
        <v>1</v>
      </c>
      <c r="X41" s="81">
        <v>1</v>
      </c>
      <c r="Y41" s="81">
        <v>1</v>
      </c>
      <c r="Z41" s="81">
        <v>1</v>
      </c>
      <c r="AA41" s="81">
        <v>1</v>
      </c>
      <c r="AB41" s="81">
        <v>1</v>
      </c>
      <c r="AC41" s="81">
        <v>1</v>
      </c>
      <c r="AD41" s="81">
        <v>1</v>
      </c>
      <c r="AE41" s="81">
        <v>1</v>
      </c>
      <c r="AF41" s="81">
        <v>1</v>
      </c>
      <c r="AG41" s="81">
        <v>1</v>
      </c>
      <c r="AH41" s="81">
        <v>1</v>
      </c>
      <c r="AI41" s="81">
        <v>1</v>
      </c>
      <c r="AJ41" s="81">
        <v>1</v>
      </c>
      <c r="AK41" s="81">
        <v>1</v>
      </c>
      <c r="AN41" s="46"/>
      <c r="AO41" s="46"/>
      <c r="AP41" s="46"/>
      <c r="AQ41" s="46"/>
      <c r="AR41" s="46"/>
      <c r="AS41" s="46"/>
    </row>
    <row r="42" spans="2:45" ht="13.8">
      <c r="B42" s="70" t="s">
        <v>62</v>
      </c>
      <c r="C42" s="71" t="s">
        <v>58</v>
      </c>
      <c r="D42" s="72" t="s">
        <v>59</v>
      </c>
      <c r="E42" s="73">
        <v>25</v>
      </c>
      <c r="F42" s="77" t="str">
        <f t="shared" si="6"/>
        <v/>
      </c>
      <c r="G42" s="89" t="str">
        <f>IF(ISNUMBER(F42),ROUND(0.0643*F42,2),"n/a")</f>
        <v>n/a</v>
      </c>
      <c r="H42" s="89" t="str">
        <f>IF(ISNUMBER(F42),ROUND(0.332*F42,2),"n/a")</f>
        <v>n/a</v>
      </c>
      <c r="I42" s="89" t="str">
        <f t="shared" si="5"/>
        <v>n/a</v>
      </c>
      <c r="J42" s="81">
        <v>56</v>
      </c>
      <c r="K42" s="79">
        <v>21.59</v>
      </c>
      <c r="L42" s="91">
        <v>24.73</v>
      </c>
      <c r="M42" s="79">
        <v>21.59</v>
      </c>
      <c r="N42" s="91">
        <v>24</v>
      </c>
      <c r="O42" s="79">
        <v>1</v>
      </c>
      <c r="P42" s="79">
        <v>26</v>
      </c>
      <c r="Q42" s="79">
        <v>24</v>
      </c>
      <c r="R42" s="79">
        <v>22</v>
      </c>
      <c r="S42" s="79">
        <v>1</v>
      </c>
      <c r="T42" s="81">
        <v>1</v>
      </c>
      <c r="U42" s="81">
        <v>1</v>
      </c>
      <c r="V42" s="81">
        <v>1</v>
      </c>
      <c r="W42" s="81">
        <v>1</v>
      </c>
      <c r="X42" s="81">
        <v>1</v>
      </c>
      <c r="Y42" s="81">
        <v>1</v>
      </c>
      <c r="Z42" s="81">
        <v>1</v>
      </c>
      <c r="AA42" s="81">
        <v>1</v>
      </c>
      <c r="AB42" s="81">
        <v>1</v>
      </c>
      <c r="AC42" s="81">
        <v>1</v>
      </c>
      <c r="AD42" s="81">
        <v>1</v>
      </c>
      <c r="AE42" s="81">
        <v>1</v>
      </c>
      <c r="AF42" s="81">
        <v>1</v>
      </c>
      <c r="AG42" s="81">
        <v>1</v>
      </c>
      <c r="AH42" s="81">
        <v>1</v>
      </c>
      <c r="AI42" s="81">
        <v>1</v>
      </c>
      <c r="AJ42" s="81">
        <v>1</v>
      </c>
      <c r="AK42" s="81">
        <v>1</v>
      </c>
      <c r="AN42" s="46"/>
      <c r="AO42" s="46"/>
      <c r="AP42" s="46"/>
      <c r="AQ42" s="46"/>
      <c r="AR42" s="46"/>
      <c r="AS42" s="46"/>
    </row>
    <row r="43" spans="2:45" ht="15" hidden="1" customHeight="1">
      <c r="B43" s="70" t="s">
        <v>63</v>
      </c>
      <c r="C43" s="71" t="s">
        <v>58</v>
      </c>
      <c r="D43" s="72" t="s">
        <v>59</v>
      </c>
      <c r="E43" s="73">
        <v>100</v>
      </c>
      <c r="F43" s="92" t="str">
        <f t="shared" si="6"/>
        <v>n/a</v>
      </c>
      <c r="G43" s="89" t="str">
        <f>IF(ISNUMBER(F43),ROUND(0.5374*F43^0.55,2),"n/a")</f>
        <v>n/a</v>
      </c>
      <c r="H43" s="89" t="str">
        <f>IF(ISNUMBER(F43),ROUND(0.5374*F43^0.55,2),"n/a")</f>
        <v>n/a</v>
      </c>
      <c r="I43" s="89" t="str">
        <f t="shared" si="5"/>
        <v>n/a</v>
      </c>
      <c r="J43" s="93" t="s">
        <v>48</v>
      </c>
      <c r="K43" s="93" t="s">
        <v>48</v>
      </c>
      <c r="L43" s="94" t="s">
        <v>48</v>
      </c>
      <c r="M43" s="93" t="s">
        <v>48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0</v>
      </c>
      <c r="X43" s="93">
        <v>0</v>
      </c>
      <c r="Y43" s="93">
        <v>0</v>
      </c>
      <c r="Z43" s="93">
        <v>0</v>
      </c>
      <c r="AA43" s="93">
        <v>0</v>
      </c>
      <c r="AB43" s="93">
        <v>0</v>
      </c>
      <c r="AC43" s="93">
        <v>0</v>
      </c>
      <c r="AD43" s="93">
        <v>0</v>
      </c>
      <c r="AE43" s="93">
        <v>0</v>
      </c>
      <c r="AF43" s="93">
        <v>0</v>
      </c>
      <c r="AG43" s="93">
        <v>0</v>
      </c>
      <c r="AH43" s="93">
        <v>0</v>
      </c>
      <c r="AI43" s="93">
        <v>0</v>
      </c>
      <c r="AJ43" s="93">
        <v>0</v>
      </c>
      <c r="AK43" s="93">
        <v>0</v>
      </c>
      <c r="AN43" s="46"/>
      <c r="AO43" s="46"/>
      <c r="AP43" s="46"/>
      <c r="AQ43" s="46"/>
      <c r="AR43" s="46"/>
      <c r="AS43" s="46"/>
    </row>
    <row r="44" spans="2:45" ht="15" hidden="1" customHeight="1">
      <c r="B44" s="70" t="s">
        <v>64</v>
      </c>
      <c r="C44" s="71" t="s">
        <v>58</v>
      </c>
      <c r="D44" s="72" t="s">
        <v>59</v>
      </c>
      <c r="E44" s="73"/>
      <c r="F44" s="92" t="str">
        <f t="shared" si="6"/>
        <v>n/a</v>
      </c>
      <c r="G44" s="89" t="str">
        <f>IF(ISNUMBER(F44),ROUND(0.6358*F44^0.55,2),"n/a")</f>
        <v>n/a</v>
      </c>
      <c r="H44" s="89" t="str">
        <f>IF(ISNUMBER(F44),ROUND(0.9376*F44^0.55,2),"n/a")</f>
        <v>n/a</v>
      </c>
      <c r="I44" s="89" t="str">
        <f t="shared" si="5"/>
        <v>n/a</v>
      </c>
      <c r="J44" s="93" t="s">
        <v>48</v>
      </c>
      <c r="K44" s="93" t="s">
        <v>48</v>
      </c>
      <c r="L44" s="94" t="s">
        <v>48</v>
      </c>
      <c r="M44" s="93" t="s">
        <v>48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0</v>
      </c>
      <c r="Z44" s="93">
        <v>0</v>
      </c>
      <c r="AA44" s="93">
        <v>0</v>
      </c>
      <c r="AB44" s="93">
        <v>0</v>
      </c>
      <c r="AC44" s="93">
        <v>0</v>
      </c>
      <c r="AD44" s="93">
        <v>0</v>
      </c>
      <c r="AE44" s="93">
        <v>0</v>
      </c>
      <c r="AF44" s="93">
        <v>0</v>
      </c>
      <c r="AG44" s="93">
        <v>0</v>
      </c>
      <c r="AH44" s="93">
        <v>0</v>
      </c>
      <c r="AI44" s="93">
        <v>0</v>
      </c>
      <c r="AJ44" s="93">
        <v>0</v>
      </c>
      <c r="AK44" s="93">
        <v>0</v>
      </c>
      <c r="AN44" s="46"/>
      <c r="AO44" s="46"/>
      <c r="AP44" s="46"/>
      <c r="AQ44" s="46"/>
      <c r="AR44" s="46"/>
      <c r="AS44" s="46"/>
    </row>
    <row r="45" spans="2:45" ht="15" hidden="1" customHeight="1">
      <c r="B45" s="70" t="s">
        <v>65</v>
      </c>
      <c r="C45" s="71" t="s">
        <v>66</v>
      </c>
      <c r="D45" s="72" t="s">
        <v>39</v>
      </c>
      <c r="E45" s="73">
        <v>18</v>
      </c>
      <c r="F45" s="92" t="str">
        <f t="shared" si="6"/>
        <v>n/a</v>
      </c>
      <c r="G45" s="78" t="str">
        <f>IF(ISNUMBER(F45),F45^0.6667*0.077,"")</f>
        <v/>
      </c>
      <c r="H45" s="78" t="str">
        <f>IF(ISNUMBER(F45),F45^0.6667*0.2451,"")</f>
        <v/>
      </c>
      <c r="I45" s="78" t="str">
        <f t="shared" si="5"/>
        <v/>
      </c>
      <c r="J45" s="93" t="s">
        <v>48</v>
      </c>
      <c r="K45" s="93" t="s">
        <v>48</v>
      </c>
      <c r="L45" s="94" t="s">
        <v>48</v>
      </c>
      <c r="M45" s="93" t="s">
        <v>48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  <c r="Z45" s="93">
        <v>0</v>
      </c>
      <c r="AA45" s="93">
        <v>0</v>
      </c>
      <c r="AB45" s="93">
        <v>0</v>
      </c>
      <c r="AC45" s="93">
        <v>0</v>
      </c>
      <c r="AD45" s="93">
        <v>0</v>
      </c>
      <c r="AE45" s="93">
        <v>0</v>
      </c>
      <c r="AF45" s="93">
        <v>0</v>
      </c>
      <c r="AG45" s="93">
        <v>0</v>
      </c>
      <c r="AH45" s="93">
        <v>0</v>
      </c>
      <c r="AI45" s="93">
        <v>0</v>
      </c>
      <c r="AJ45" s="93">
        <v>0</v>
      </c>
      <c r="AK45" s="93">
        <v>0</v>
      </c>
      <c r="AN45" s="46"/>
      <c r="AO45" s="46"/>
      <c r="AP45" s="46"/>
      <c r="AQ45" s="46"/>
      <c r="AR45" s="46"/>
      <c r="AS45" s="46"/>
    </row>
    <row r="46" spans="2:45" ht="15" hidden="1" customHeight="1">
      <c r="B46" s="70" t="s">
        <v>67</v>
      </c>
      <c r="C46" s="71" t="s">
        <v>58</v>
      </c>
      <c r="D46" s="72" t="s">
        <v>59</v>
      </c>
      <c r="E46" s="73"/>
      <c r="F46" s="92" t="str">
        <f t="shared" si="6"/>
        <v>n/a</v>
      </c>
      <c r="G46" s="89" t="str">
        <f>IF(ISNUMBER(F46),ROUND(0.3295*F46^0.7,2),"n/a")</f>
        <v>n/a</v>
      </c>
      <c r="H46" s="89" t="str">
        <f>IF(ISNUMBER(F46),ROUND(0.5082*F46^0.7,2),"n/a")</f>
        <v>n/a</v>
      </c>
      <c r="I46" s="89" t="str">
        <f t="shared" si="5"/>
        <v>n/a</v>
      </c>
      <c r="J46" s="93" t="s">
        <v>48</v>
      </c>
      <c r="K46" s="93" t="s">
        <v>48</v>
      </c>
      <c r="L46" s="94" t="s">
        <v>48</v>
      </c>
      <c r="M46" s="93" t="s">
        <v>48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  <c r="AA46" s="93">
        <v>0</v>
      </c>
      <c r="AB46" s="93">
        <v>0</v>
      </c>
      <c r="AC46" s="93">
        <v>0</v>
      </c>
      <c r="AD46" s="93">
        <v>0</v>
      </c>
      <c r="AE46" s="93">
        <v>0</v>
      </c>
      <c r="AF46" s="93">
        <v>0</v>
      </c>
      <c r="AG46" s="93">
        <v>0</v>
      </c>
      <c r="AH46" s="93">
        <v>0</v>
      </c>
      <c r="AI46" s="93">
        <v>0</v>
      </c>
      <c r="AJ46" s="93">
        <v>0</v>
      </c>
      <c r="AK46" s="93">
        <v>0</v>
      </c>
      <c r="AN46" s="46"/>
      <c r="AO46" s="46"/>
      <c r="AP46" s="46"/>
      <c r="AQ46" s="46"/>
      <c r="AR46" s="46"/>
      <c r="AS46" s="46"/>
    </row>
    <row r="47" spans="2:45" ht="15" hidden="1" customHeight="1">
      <c r="B47" s="70" t="s">
        <v>68</v>
      </c>
      <c r="C47" s="71" t="s">
        <v>58</v>
      </c>
      <c r="D47" s="72" t="s">
        <v>59</v>
      </c>
      <c r="E47" s="73"/>
      <c r="F47" s="92" t="str">
        <f t="shared" si="6"/>
        <v>n/a</v>
      </c>
      <c r="G47" s="89" t="str">
        <f>IF(ISNUMBER(F47),ROUND(0.6008*F47^0.55,2),"n/a")</f>
        <v>n/a</v>
      </c>
      <c r="H47" s="89" t="str">
        <f>IF(ISNUMBER(F47),ROUND(1.276*F47^0.55,2),"n/a")</f>
        <v>n/a</v>
      </c>
      <c r="I47" s="89" t="str">
        <f t="shared" si="5"/>
        <v>n/a</v>
      </c>
      <c r="J47" s="93" t="s">
        <v>48</v>
      </c>
      <c r="K47" s="93" t="s">
        <v>48</v>
      </c>
      <c r="L47" s="94" t="s">
        <v>48</v>
      </c>
      <c r="M47" s="93" t="s">
        <v>48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  <c r="Z47" s="93">
        <v>0</v>
      </c>
      <c r="AA47" s="93">
        <v>0</v>
      </c>
      <c r="AB47" s="93">
        <v>0</v>
      </c>
      <c r="AC47" s="93">
        <v>0</v>
      </c>
      <c r="AD47" s="93">
        <v>0</v>
      </c>
      <c r="AE47" s="93">
        <v>0</v>
      </c>
      <c r="AF47" s="93">
        <v>0</v>
      </c>
      <c r="AG47" s="93">
        <v>0</v>
      </c>
      <c r="AH47" s="93">
        <v>0</v>
      </c>
      <c r="AI47" s="93">
        <v>0</v>
      </c>
      <c r="AJ47" s="93">
        <v>0</v>
      </c>
      <c r="AK47" s="93">
        <v>0</v>
      </c>
      <c r="AN47" s="46"/>
      <c r="AO47" s="46"/>
      <c r="AP47" s="46"/>
      <c r="AQ47" s="46"/>
      <c r="AR47" s="46"/>
      <c r="AS47" s="46"/>
    </row>
    <row r="48" spans="2:45" ht="13.8" hidden="1">
      <c r="B48" s="70" t="s">
        <v>69</v>
      </c>
      <c r="C48" s="71" t="s">
        <v>58</v>
      </c>
      <c r="D48" s="72" t="s">
        <v>59</v>
      </c>
      <c r="E48" s="73">
        <v>30</v>
      </c>
      <c r="F48" s="92" t="str">
        <f t="shared" si="6"/>
        <v>n/a</v>
      </c>
      <c r="G48" s="89" t="str">
        <f>IF(ISNUMBER(F48),ROUND(0.3734*F48^0.65,2),"n/a")</f>
        <v>n/a</v>
      </c>
      <c r="H48" s="89" t="str">
        <f>IF(ISNUMBER(F48),ROUND(0.644*F48^0.65,2),"n/a")</f>
        <v>n/a</v>
      </c>
      <c r="I48" s="89" t="str">
        <f t="shared" si="5"/>
        <v>n/a</v>
      </c>
      <c r="J48" s="93" t="s">
        <v>48</v>
      </c>
      <c r="K48" s="93" t="s">
        <v>48</v>
      </c>
      <c r="L48" s="94" t="s">
        <v>48</v>
      </c>
      <c r="M48" s="93" t="s">
        <v>48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  <c r="Z48" s="93">
        <v>0</v>
      </c>
      <c r="AA48" s="93">
        <v>0</v>
      </c>
      <c r="AB48" s="93">
        <v>0</v>
      </c>
      <c r="AC48" s="93">
        <v>0</v>
      </c>
      <c r="AD48" s="93">
        <v>0</v>
      </c>
      <c r="AE48" s="93">
        <v>0</v>
      </c>
      <c r="AF48" s="93">
        <v>0</v>
      </c>
      <c r="AG48" s="93">
        <v>0</v>
      </c>
      <c r="AH48" s="93">
        <v>0</v>
      </c>
      <c r="AI48" s="93">
        <v>0</v>
      </c>
      <c r="AJ48" s="93">
        <v>0</v>
      </c>
      <c r="AK48" s="93">
        <v>0</v>
      </c>
      <c r="AN48" s="46"/>
      <c r="AO48" s="46"/>
      <c r="AP48" s="46"/>
      <c r="AQ48" s="46"/>
      <c r="AR48" s="46"/>
      <c r="AS48" s="46"/>
    </row>
    <row r="49" spans="2:45" ht="15" hidden="1" customHeight="1">
      <c r="B49" s="70" t="s">
        <v>70</v>
      </c>
      <c r="C49" s="71" t="s">
        <v>71</v>
      </c>
      <c r="D49" s="72" t="s">
        <v>59</v>
      </c>
      <c r="E49" s="73"/>
      <c r="F49" s="92" t="str">
        <f t="shared" si="6"/>
        <v>n/a</v>
      </c>
      <c r="G49" s="78" t="str">
        <f>IF(ISNUMBER(F49),ROUND(0.089*F49^0.5,2),"")</f>
        <v/>
      </c>
      <c r="H49" s="78" t="str">
        <f>IF(ISNUMBER(F49),ROUND(0.294*F49^0.5,2),"")</f>
        <v/>
      </c>
      <c r="I49" s="78" t="str">
        <f t="shared" si="5"/>
        <v/>
      </c>
      <c r="J49" s="93" t="s">
        <v>48</v>
      </c>
      <c r="K49" s="93" t="s">
        <v>48</v>
      </c>
      <c r="L49" s="94" t="s">
        <v>48</v>
      </c>
      <c r="M49" s="93" t="s">
        <v>48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  <c r="Z49" s="93">
        <v>0</v>
      </c>
      <c r="AA49" s="93">
        <v>0</v>
      </c>
      <c r="AB49" s="93">
        <v>0</v>
      </c>
      <c r="AC49" s="93">
        <v>0</v>
      </c>
      <c r="AD49" s="93">
        <v>0</v>
      </c>
      <c r="AE49" s="93">
        <v>0</v>
      </c>
      <c r="AF49" s="93">
        <v>0</v>
      </c>
      <c r="AG49" s="93">
        <v>0</v>
      </c>
      <c r="AH49" s="93">
        <v>0</v>
      </c>
      <c r="AI49" s="93">
        <v>0</v>
      </c>
      <c r="AJ49" s="93">
        <v>0</v>
      </c>
      <c r="AK49" s="93">
        <v>0</v>
      </c>
      <c r="AN49" s="46"/>
      <c r="AO49" s="46"/>
      <c r="AP49" s="46"/>
      <c r="AQ49" s="46"/>
      <c r="AR49" s="46"/>
      <c r="AS49" s="46"/>
    </row>
    <row r="50" spans="2:45" ht="15" customHeight="1">
      <c r="B50" s="70" t="s">
        <v>72</v>
      </c>
      <c r="C50" s="71" t="s">
        <v>73</v>
      </c>
      <c r="D50" s="72" t="s">
        <v>59</v>
      </c>
      <c r="E50" s="73"/>
      <c r="F50" s="83" t="str">
        <f t="shared" si="6"/>
        <v/>
      </c>
      <c r="G50" s="78" t="str">
        <f>IF(ISNUMBER(F50),ROUND(0.089*F50^0.5,2),"")</f>
        <v/>
      </c>
      <c r="H50" s="78" t="str">
        <f>IF(ISNUMBER(F50),ROUND(0.294*F50^0.5,2),"")</f>
        <v/>
      </c>
      <c r="I50" s="78" t="str">
        <f t="shared" si="5"/>
        <v/>
      </c>
      <c r="J50" s="79">
        <v>0.01</v>
      </c>
      <c r="K50" s="79">
        <v>0.01</v>
      </c>
      <c r="L50" s="80">
        <v>0.01</v>
      </c>
      <c r="M50" s="79">
        <v>0.01</v>
      </c>
      <c r="N50" s="79">
        <v>0.02</v>
      </c>
      <c r="O50" s="79">
        <v>0</v>
      </c>
      <c r="P50" s="79">
        <v>0</v>
      </c>
      <c r="Q50" s="79">
        <v>0</v>
      </c>
      <c r="R50" s="79">
        <v>0.01</v>
      </c>
      <c r="S50" s="79">
        <v>0.01</v>
      </c>
      <c r="T50" s="7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79">
        <v>0</v>
      </c>
      <c r="AJ50" s="79">
        <v>0</v>
      </c>
      <c r="AK50" s="79">
        <v>0</v>
      </c>
      <c r="AN50" s="46"/>
      <c r="AO50" s="46"/>
      <c r="AP50" s="46"/>
      <c r="AQ50" s="46"/>
      <c r="AR50" s="46"/>
      <c r="AS50" s="46"/>
    </row>
    <row r="51" spans="2:45" ht="15" hidden="1" customHeight="1">
      <c r="B51" s="70" t="s">
        <v>74</v>
      </c>
      <c r="C51" s="71" t="s">
        <v>75</v>
      </c>
      <c r="D51" s="72" t="s">
        <v>59</v>
      </c>
      <c r="E51" s="73">
        <v>0.1</v>
      </c>
      <c r="F51" s="92" t="str">
        <f t="shared" si="6"/>
        <v>n/a</v>
      </c>
      <c r="G51" s="78" t="str">
        <f>IF(ISNUMBER(F51),ROUND(0.089*F51^0.5,2),"")</f>
        <v/>
      </c>
      <c r="H51" s="78" t="str">
        <f>IF(ISNUMBER(F51),ROUND(0.294*F51^0.5,2),"")</f>
        <v/>
      </c>
      <c r="I51" s="78" t="str">
        <f t="shared" si="5"/>
        <v/>
      </c>
      <c r="J51" s="93" t="s">
        <v>48</v>
      </c>
      <c r="K51" s="93" t="s">
        <v>48</v>
      </c>
      <c r="L51" s="94" t="s">
        <v>48</v>
      </c>
      <c r="M51" s="93" t="s">
        <v>48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3">
        <v>0</v>
      </c>
      <c r="AE51" s="93">
        <v>0</v>
      </c>
      <c r="AF51" s="93">
        <v>0</v>
      </c>
      <c r="AG51" s="93">
        <v>0</v>
      </c>
      <c r="AH51" s="93">
        <v>0</v>
      </c>
      <c r="AI51" s="93">
        <v>0</v>
      </c>
      <c r="AJ51" s="93">
        <v>0</v>
      </c>
      <c r="AK51" s="93">
        <v>0</v>
      </c>
      <c r="AN51" s="46"/>
      <c r="AO51" s="46"/>
      <c r="AP51" s="46"/>
      <c r="AQ51" s="46"/>
      <c r="AR51" s="46"/>
      <c r="AS51" s="46"/>
    </row>
    <row r="52" spans="2:45" ht="15" hidden="1" customHeight="1">
      <c r="B52" s="70" t="s">
        <v>76</v>
      </c>
      <c r="C52" s="71" t="s">
        <v>77</v>
      </c>
      <c r="D52" s="72" t="s">
        <v>39</v>
      </c>
      <c r="E52" s="73"/>
      <c r="F52" s="92" t="str">
        <f t="shared" si="6"/>
        <v>n/a</v>
      </c>
      <c r="G52" s="78" t="str">
        <f>IF(ISNUMBER(F52),ROUND(0.1*F52,2),"")</f>
        <v/>
      </c>
      <c r="H52" s="78" t="str">
        <f>IF(ISNUMBER(F52),ROUND(0.2*F52,2),"")</f>
        <v/>
      </c>
      <c r="I52" s="78" t="str">
        <f t="shared" si="5"/>
        <v/>
      </c>
      <c r="J52" s="93" t="s">
        <v>48</v>
      </c>
      <c r="K52" s="93" t="s">
        <v>48</v>
      </c>
      <c r="L52" s="94" t="s">
        <v>48</v>
      </c>
      <c r="M52" s="93" t="s">
        <v>48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  <c r="Z52" s="93">
        <v>0</v>
      </c>
      <c r="AA52" s="93">
        <v>0</v>
      </c>
      <c r="AB52" s="93">
        <v>0</v>
      </c>
      <c r="AC52" s="93">
        <v>0</v>
      </c>
      <c r="AD52" s="93">
        <v>0</v>
      </c>
      <c r="AE52" s="93">
        <v>0</v>
      </c>
      <c r="AF52" s="93">
        <v>0</v>
      </c>
      <c r="AG52" s="93">
        <v>0</v>
      </c>
      <c r="AH52" s="93">
        <v>0</v>
      </c>
      <c r="AI52" s="93">
        <v>0</v>
      </c>
      <c r="AJ52" s="93">
        <v>0</v>
      </c>
      <c r="AK52" s="93">
        <v>0</v>
      </c>
      <c r="AN52" s="46"/>
      <c r="AO52" s="46"/>
      <c r="AP52" s="46"/>
      <c r="AQ52" s="46"/>
      <c r="AR52" s="46"/>
      <c r="AS52" s="46"/>
    </row>
    <row r="53" spans="2:45" s="47" customFormat="1" ht="15" hidden="1" customHeight="1">
      <c r="B53" s="70" t="s">
        <v>78</v>
      </c>
      <c r="C53" s="71" t="s">
        <v>79</v>
      </c>
      <c r="D53" s="72" t="s">
        <v>59</v>
      </c>
      <c r="E53" s="73"/>
      <c r="F53" s="92" t="str">
        <f t="shared" si="6"/>
        <v>n/a</v>
      </c>
      <c r="G53" s="13" t="str">
        <f>IF(ISNUMBER(F53),ROUND(0.087*F53,0),"")</f>
        <v/>
      </c>
      <c r="H53" s="13" t="str">
        <f>IF(ISNUMBER(F53),ROUND(0.266*F53,0),"")</f>
        <v/>
      </c>
      <c r="I53" s="13" t="str">
        <f t="shared" si="5"/>
        <v/>
      </c>
      <c r="J53" s="93" t="s">
        <v>48</v>
      </c>
      <c r="K53" s="93" t="s">
        <v>48</v>
      </c>
      <c r="L53" s="94" t="s">
        <v>48</v>
      </c>
      <c r="M53" s="93" t="s">
        <v>48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  <c r="Z53" s="93">
        <v>0</v>
      </c>
      <c r="AA53" s="93">
        <v>0</v>
      </c>
      <c r="AB53" s="93">
        <v>0</v>
      </c>
      <c r="AC53" s="93">
        <v>0</v>
      </c>
      <c r="AD53" s="93">
        <v>0</v>
      </c>
      <c r="AE53" s="93">
        <v>0</v>
      </c>
      <c r="AF53" s="93">
        <v>0</v>
      </c>
      <c r="AG53" s="93">
        <v>0</v>
      </c>
      <c r="AH53" s="93">
        <v>0</v>
      </c>
      <c r="AI53" s="93">
        <v>0</v>
      </c>
      <c r="AJ53" s="93">
        <v>0</v>
      </c>
      <c r="AK53" s="93">
        <v>0</v>
      </c>
      <c r="AL53" s="3"/>
      <c r="AM53" s="3"/>
      <c r="AN53" s="46"/>
      <c r="AO53" s="46"/>
      <c r="AP53" s="46"/>
      <c r="AQ53" s="46"/>
      <c r="AR53" s="46"/>
      <c r="AS53" s="46"/>
    </row>
    <row r="54" spans="2:45" ht="15" hidden="1" customHeight="1">
      <c r="B54" s="70" t="s">
        <v>80</v>
      </c>
      <c r="C54" s="71" t="s">
        <v>81</v>
      </c>
      <c r="D54" s="72" t="s">
        <v>39</v>
      </c>
      <c r="E54" s="73"/>
      <c r="F54" s="83" t="str">
        <f t="shared" si="6"/>
        <v>n/a</v>
      </c>
      <c r="G54" s="78"/>
      <c r="H54" s="78"/>
      <c r="I54" s="13">
        <f t="shared" si="5"/>
        <v>0</v>
      </c>
      <c r="J54" s="93" t="s">
        <v>48</v>
      </c>
      <c r="K54" s="93" t="s">
        <v>48</v>
      </c>
      <c r="L54" s="94" t="s">
        <v>48</v>
      </c>
      <c r="M54" s="93" t="s">
        <v>48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  <c r="AA54" s="93">
        <v>0</v>
      </c>
      <c r="AB54" s="93">
        <v>0</v>
      </c>
      <c r="AC54" s="93">
        <v>0</v>
      </c>
      <c r="AD54" s="93">
        <v>0</v>
      </c>
      <c r="AE54" s="93">
        <v>0</v>
      </c>
      <c r="AF54" s="93">
        <v>0</v>
      </c>
      <c r="AG54" s="93">
        <v>0</v>
      </c>
      <c r="AH54" s="93">
        <v>0</v>
      </c>
      <c r="AI54" s="93">
        <v>0</v>
      </c>
      <c r="AJ54" s="93">
        <v>0</v>
      </c>
      <c r="AK54" s="93">
        <v>0</v>
      </c>
      <c r="AN54" s="46"/>
      <c r="AO54" s="46"/>
      <c r="AP54" s="46"/>
      <c r="AQ54" s="46"/>
      <c r="AR54" s="46"/>
      <c r="AS54" s="46"/>
    </row>
    <row r="55" spans="2:45" ht="15" hidden="1" customHeight="1">
      <c r="B55" s="70" t="s">
        <v>82</v>
      </c>
      <c r="C55" s="71" t="s">
        <v>83</v>
      </c>
      <c r="D55" s="72" t="s">
        <v>39</v>
      </c>
      <c r="E55" s="73"/>
      <c r="F55" s="83" t="str">
        <f t="shared" si="6"/>
        <v>n/a</v>
      </c>
      <c r="G55" s="78" t="str">
        <f>IF(ISNUMBER(F55),ROUND(F55*0.255+0.017,3),"")</f>
        <v/>
      </c>
      <c r="H55" s="78" t="str">
        <f>IF(ISNUMBER(F55),ROUND(F55*0.255+0.033,3),"")</f>
        <v/>
      </c>
      <c r="I55" s="13" t="str">
        <f t="shared" si="5"/>
        <v/>
      </c>
      <c r="J55" s="93" t="s">
        <v>48</v>
      </c>
      <c r="K55" s="93" t="s">
        <v>48</v>
      </c>
      <c r="L55" s="94" t="s">
        <v>48</v>
      </c>
      <c r="M55" s="93" t="s">
        <v>48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  <c r="Z55" s="93">
        <v>0</v>
      </c>
      <c r="AA55" s="93">
        <v>0</v>
      </c>
      <c r="AB55" s="93">
        <v>0</v>
      </c>
      <c r="AC55" s="93">
        <v>0</v>
      </c>
      <c r="AD55" s="93">
        <v>0</v>
      </c>
      <c r="AE55" s="93">
        <v>0</v>
      </c>
      <c r="AF55" s="93">
        <v>0</v>
      </c>
      <c r="AG55" s="93">
        <v>0</v>
      </c>
      <c r="AH55" s="93">
        <v>0</v>
      </c>
      <c r="AI55" s="93">
        <v>0</v>
      </c>
      <c r="AJ55" s="93">
        <v>0</v>
      </c>
      <c r="AK55" s="93">
        <v>0</v>
      </c>
      <c r="AN55" s="46"/>
      <c r="AO55" s="46"/>
      <c r="AP55" s="46"/>
      <c r="AQ55" s="46"/>
      <c r="AR55" s="46"/>
      <c r="AS55" s="46"/>
    </row>
    <row r="56" spans="2:45" ht="15" hidden="1" customHeight="1">
      <c r="B56" s="70" t="s">
        <v>84</v>
      </c>
      <c r="C56" s="71" t="s">
        <v>85</v>
      </c>
      <c r="D56" s="72" t="s">
        <v>86</v>
      </c>
      <c r="E56" s="73"/>
      <c r="F56" s="92" t="str">
        <f t="shared" si="6"/>
        <v>n/a</v>
      </c>
      <c r="G56" s="78" t="str">
        <f>IF(ISNUMBER(F56),ROUND(0.044*(F56+1),3),"")</f>
        <v/>
      </c>
      <c r="H56" s="78" t="str">
        <f>IF(ISNUMBER(F56),ROUND(0.141*(F56+1),3),"")</f>
        <v/>
      </c>
      <c r="I56" s="13" t="str">
        <f t="shared" si="5"/>
        <v/>
      </c>
      <c r="J56" s="93" t="s">
        <v>48</v>
      </c>
      <c r="K56" s="93" t="s">
        <v>48</v>
      </c>
      <c r="L56" s="94" t="s">
        <v>48</v>
      </c>
      <c r="M56" s="93" t="s">
        <v>48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0</v>
      </c>
      <c r="Z56" s="93">
        <v>0</v>
      </c>
      <c r="AA56" s="93">
        <v>0</v>
      </c>
      <c r="AB56" s="93">
        <v>0</v>
      </c>
      <c r="AC56" s="93">
        <v>0</v>
      </c>
      <c r="AD56" s="93">
        <v>0</v>
      </c>
      <c r="AE56" s="93">
        <v>0</v>
      </c>
      <c r="AF56" s="93">
        <v>0</v>
      </c>
      <c r="AG56" s="93">
        <v>0</v>
      </c>
      <c r="AH56" s="93">
        <v>0</v>
      </c>
      <c r="AI56" s="93">
        <v>0</v>
      </c>
      <c r="AJ56" s="93">
        <v>0</v>
      </c>
      <c r="AK56" s="93">
        <v>0</v>
      </c>
      <c r="AN56" s="46"/>
      <c r="AO56" s="46"/>
      <c r="AP56" s="46"/>
      <c r="AQ56" s="46"/>
      <c r="AR56" s="46"/>
      <c r="AS56" s="46"/>
    </row>
    <row r="57" spans="2:45" ht="15" hidden="1" customHeight="1">
      <c r="B57" s="70" t="s">
        <v>87</v>
      </c>
      <c r="C57" s="71"/>
      <c r="D57" s="72" t="s">
        <v>59</v>
      </c>
      <c r="E57" s="73"/>
      <c r="F57" s="92" t="str">
        <f t="shared" si="6"/>
        <v>n/a</v>
      </c>
      <c r="G57" s="89" t="e">
        <f>G39+G40</f>
        <v>#VALUE!</v>
      </c>
      <c r="H57" s="89" t="e">
        <f>H39+H40</f>
        <v>#VALUE!</v>
      </c>
      <c r="I57" s="89" t="e">
        <f t="shared" si="5"/>
        <v>#VALUE!</v>
      </c>
      <c r="J57" s="93" t="s">
        <v>48</v>
      </c>
      <c r="K57" s="93" t="s">
        <v>48</v>
      </c>
      <c r="L57" s="94" t="s">
        <v>48</v>
      </c>
      <c r="M57" s="93" t="s">
        <v>48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  <c r="Z57" s="93">
        <v>0</v>
      </c>
      <c r="AA57" s="93">
        <v>0</v>
      </c>
      <c r="AB57" s="93">
        <v>0</v>
      </c>
      <c r="AC57" s="93">
        <v>0</v>
      </c>
      <c r="AD57" s="93">
        <v>0</v>
      </c>
      <c r="AE57" s="93">
        <v>0</v>
      </c>
      <c r="AF57" s="93">
        <v>0</v>
      </c>
      <c r="AG57" s="93">
        <v>0</v>
      </c>
      <c r="AH57" s="93">
        <v>0</v>
      </c>
      <c r="AI57" s="93">
        <v>0</v>
      </c>
      <c r="AJ57" s="93">
        <v>0</v>
      </c>
      <c r="AK57" s="93">
        <v>0</v>
      </c>
      <c r="AN57" s="46"/>
      <c r="AO57" s="46"/>
      <c r="AP57" s="46"/>
      <c r="AQ57" s="46"/>
      <c r="AR57" s="46"/>
      <c r="AS57" s="46"/>
    </row>
    <row r="58" spans="2:45" ht="13.8">
      <c r="B58" s="70" t="s">
        <v>88</v>
      </c>
      <c r="C58" s="71"/>
      <c r="D58" s="72" t="s">
        <v>59</v>
      </c>
      <c r="E58" s="73">
        <v>60</v>
      </c>
      <c r="F58" s="77">
        <f t="shared" ref="F58:AK58" si="7">IFERROR(F41+F42,)</f>
        <v>0</v>
      </c>
      <c r="G58" s="77">
        <f t="shared" si="7"/>
        <v>0</v>
      </c>
      <c r="H58" s="77">
        <f t="shared" si="7"/>
        <v>0</v>
      </c>
      <c r="I58" s="77">
        <f t="shared" si="7"/>
        <v>0</v>
      </c>
      <c r="J58" s="77">
        <f t="shared" si="7"/>
        <v>68</v>
      </c>
      <c r="K58" s="77">
        <f t="shared" si="7"/>
        <v>45.91</v>
      </c>
      <c r="L58" s="95">
        <v>52.5</v>
      </c>
      <c r="M58" s="77">
        <v>45.91</v>
      </c>
      <c r="N58" s="77">
        <f t="shared" si="7"/>
        <v>47</v>
      </c>
      <c r="O58" s="77">
        <f t="shared" si="7"/>
        <v>2</v>
      </c>
      <c r="P58" s="77">
        <f t="shared" si="7"/>
        <v>51</v>
      </c>
      <c r="Q58" s="77">
        <f t="shared" si="7"/>
        <v>49</v>
      </c>
      <c r="R58" s="77">
        <f t="shared" si="7"/>
        <v>34</v>
      </c>
      <c r="S58" s="77">
        <f t="shared" si="7"/>
        <v>2</v>
      </c>
      <c r="T58" s="77">
        <f t="shared" si="7"/>
        <v>2</v>
      </c>
      <c r="U58" s="77">
        <f t="shared" si="7"/>
        <v>2</v>
      </c>
      <c r="V58" s="77">
        <f t="shared" si="7"/>
        <v>2</v>
      </c>
      <c r="W58" s="77">
        <f t="shared" si="7"/>
        <v>2</v>
      </c>
      <c r="X58" s="77">
        <f t="shared" si="7"/>
        <v>2</v>
      </c>
      <c r="Y58" s="77">
        <f t="shared" si="7"/>
        <v>2</v>
      </c>
      <c r="Z58" s="77">
        <f t="shared" si="7"/>
        <v>2</v>
      </c>
      <c r="AA58" s="77">
        <f t="shared" si="7"/>
        <v>2</v>
      </c>
      <c r="AB58" s="77">
        <f t="shared" si="7"/>
        <v>2</v>
      </c>
      <c r="AC58" s="77">
        <f t="shared" si="7"/>
        <v>2</v>
      </c>
      <c r="AD58" s="77">
        <f t="shared" si="7"/>
        <v>2</v>
      </c>
      <c r="AE58" s="77">
        <f t="shared" si="7"/>
        <v>2</v>
      </c>
      <c r="AF58" s="77">
        <f t="shared" si="7"/>
        <v>2</v>
      </c>
      <c r="AG58" s="77">
        <f t="shared" si="7"/>
        <v>2</v>
      </c>
      <c r="AH58" s="77">
        <f t="shared" si="7"/>
        <v>2</v>
      </c>
      <c r="AI58" s="77">
        <f t="shared" si="7"/>
        <v>2</v>
      </c>
      <c r="AJ58" s="77">
        <f t="shared" si="7"/>
        <v>2</v>
      </c>
      <c r="AK58" s="77">
        <f t="shared" si="7"/>
        <v>2</v>
      </c>
      <c r="AN58" s="46"/>
      <c r="AO58" s="46"/>
      <c r="AP58" s="46"/>
      <c r="AQ58" s="46"/>
      <c r="AR58" s="46"/>
      <c r="AS58" s="46"/>
    </row>
    <row r="59" spans="2:45" ht="15" hidden="1" customHeight="1">
      <c r="B59" s="70" t="s">
        <v>89</v>
      </c>
      <c r="C59" s="71" t="s">
        <v>50</v>
      </c>
      <c r="D59" s="72"/>
      <c r="E59" s="73"/>
      <c r="F59" s="96" t="str">
        <f t="shared" ref="F59:F74" si="8">IF(COUNT($J$19:$AK$19)=COUNT(J59:AK59),IF(ISNUMBER(F181),ROUND(F181,2),""),"n/a")</f>
        <v>n/a</v>
      </c>
      <c r="G59" s="13"/>
      <c r="H59" s="13"/>
      <c r="I59" s="13">
        <f t="shared" ref="I59:I76" si="9">IF($I$27=$H$27,H59,IF($I$27=$G$27,G59,""))</f>
        <v>0</v>
      </c>
      <c r="J59" s="93" t="s">
        <v>48</v>
      </c>
      <c r="K59" s="93" t="s">
        <v>48</v>
      </c>
      <c r="L59" s="94" t="s">
        <v>48</v>
      </c>
      <c r="M59" s="93" t="s">
        <v>48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0</v>
      </c>
      <c r="Z59" s="93">
        <v>0</v>
      </c>
      <c r="AA59" s="93">
        <v>0</v>
      </c>
      <c r="AB59" s="93">
        <v>0</v>
      </c>
      <c r="AC59" s="93">
        <v>0</v>
      </c>
      <c r="AD59" s="93">
        <v>0</v>
      </c>
      <c r="AE59" s="93">
        <v>0</v>
      </c>
      <c r="AF59" s="93">
        <v>0</v>
      </c>
      <c r="AG59" s="93">
        <v>0</v>
      </c>
      <c r="AH59" s="93">
        <v>0</v>
      </c>
      <c r="AI59" s="93">
        <v>0</v>
      </c>
      <c r="AJ59" s="93">
        <v>0</v>
      </c>
      <c r="AK59" s="93">
        <v>0</v>
      </c>
      <c r="AN59" s="46"/>
      <c r="AO59" s="46"/>
      <c r="AP59" s="46"/>
      <c r="AQ59" s="46"/>
      <c r="AR59" s="46"/>
      <c r="AS59" s="46"/>
    </row>
    <row r="60" spans="2:45" ht="15" hidden="1" customHeight="1">
      <c r="B60" s="70" t="s">
        <v>90</v>
      </c>
      <c r="C60" s="71" t="s">
        <v>50</v>
      </c>
      <c r="D60" s="72" t="s">
        <v>42</v>
      </c>
      <c r="E60" s="73"/>
      <c r="F60" s="96" t="str">
        <f t="shared" si="8"/>
        <v>n/a</v>
      </c>
      <c r="G60" s="97"/>
      <c r="H60" s="97"/>
      <c r="I60" s="13">
        <f t="shared" si="9"/>
        <v>0</v>
      </c>
      <c r="J60" s="93" t="s">
        <v>48</v>
      </c>
      <c r="K60" s="93" t="s">
        <v>48</v>
      </c>
      <c r="L60" s="94" t="s">
        <v>48</v>
      </c>
      <c r="M60" s="93" t="s">
        <v>48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  <c r="Z60" s="93">
        <v>0</v>
      </c>
      <c r="AA60" s="93">
        <v>0</v>
      </c>
      <c r="AB60" s="93">
        <v>0</v>
      </c>
      <c r="AC60" s="93">
        <v>0</v>
      </c>
      <c r="AD60" s="93">
        <v>0</v>
      </c>
      <c r="AE60" s="93">
        <v>0</v>
      </c>
      <c r="AF60" s="93">
        <v>0</v>
      </c>
      <c r="AG60" s="93">
        <v>0</v>
      </c>
      <c r="AH60" s="93">
        <v>0</v>
      </c>
      <c r="AI60" s="93">
        <v>0</v>
      </c>
      <c r="AJ60" s="93">
        <v>0</v>
      </c>
      <c r="AK60" s="93">
        <v>0</v>
      </c>
      <c r="AN60" s="46"/>
      <c r="AO60" s="46"/>
      <c r="AP60" s="46"/>
      <c r="AQ60" s="46"/>
      <c r="AR60" s="46"/>
      <c r="AS60" s="46"/>
    </row>
    <row r="61" spans="2:45" ht="15" hidden="1" customHeight="1">
      <c r="B61" s="70" t="s">
        <v>91</v>
      </c>
      <c r="C61" s="71" t="s">
        <v>50</v>
      </c>
      <c r="D61" s="72" t="s">
        <v>42</v>
      </c>
      <c r="E61" s="73"/>
      <c r="F61" s="96" t="str">
        <f t="shared" si="8"/>
        <v>n/a</v>
      </c>
      <c r="G61" s="97"/>
      <c r="H61" s="97"/>
      <c r="I61" s="13">
        <f t="shared" si="9"/>
        <v>0</v>
      </c>
      <c r="J61" s="93" t="s">
        <v>48</v>
      </c>
      <c r="K61" s="93" t="s">
        <v>48</v>
      </c>
      <c r="L61" s="94" t="s">
        <v>48</v>
      </c>
      <c r="M61" s="93" t="s">
        <v>48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  <c r="Z61" s="93">
        <v>0</v>
      </c>
      <c r="AA61" s="93">
        <v>0</v>
      </c>
      <c r="AB61" s="93">
        <v>0</v>
      </c>
      <c r="AC61" s="93">
        <v>0</v>
      </c>
      <c r="AD61" s="93">
        <v>0</v>
      </c>
      <c r="AE61" s="93">
        <v>0</v>
      </c>
      <c r="AF61" s="93">
        <v>0</v>
      </c>
      <c r="AG61" s="93">
        <v>0</v>
      </c>
      <c r="AH61" s="93">
        <v>0</v>
      </c>
      <c r="AI61" s="93">
        <v>0</v>
      </c>
      <c r="AJ61" s="93">
        <v>0</v>
      </c>
      <c r="AK61" s="93">
        <v>0</v>
      </c>
      <c r="AN61" s="46"/>
      <c r="AO61" s="46"/>
      <c r="AP61" s="46"/>
      <c r="AQ61" s="46"/>
      <c r="AR61" s="46"/>
      <c r="AS61" s="46"/>
    </row>
    <row r="62" spans="2:45" ht="15" hidden="1" customHeight="1">
      <c r="B62" s="70" t="s">
        <v>92</v>
      </c>
      <c r="C62" s="71" t="s">
        <v>50</v>
      </c>
      <c r="D62" s="72" t="s">
        <v>42</v>
      </c>
      <c r="E62" s="73"/>
      <c r="F62" s="96" t="str">
        <f t="shared" si="8"/>
        <v>n/a</v>
      </c>
      <c r="G62" s="97"/>
      <c r="H62" s="97"/>
      <c r="I62" s="13">
        <f t="shared" si="9"/>
        <v>0</v>
      </c>
      <c r="J62" s="93" t="s">
        <v>48</v>
      </c>
      <c r="K62" s="93" t="s">
        <v>48</v>
      </c>
      <c r="L62" s="94" t="s">
        <v>48</v>
      </c>
      <c r="M62" s="93" t="s">
        <v>48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0</v>
      </c>
      <c r="Z62" s="93">
        <v>0</v>
      </c>
      <c r="AA62" s="93">
        <v>0</v>
      </c>
      <c r="AB62" s="93">
        <v>0</v>
      </c>
      <c r="AC62" s="93">
        <v>0</v>
      </c>
      <c r="AD62" s="93">
        <v>0</v>
      </c>
      <c r="AE62" s="93">
        <v>0</v>
      </c>
      <c r="AF62" s="93">
        <v>0</v>
      </c>
      <c r="AG62" s="93">
        <v>0</v>
      </c>
      <c r="AH62" s="93">
        <v>0</v>
      </c>
      <c r="AI62" s="93">
        <v>0</v>
      </c>
      <c r="AJ62" s="93">
        <v>0</v>
      </c>
      <c r="AK62" s="93">
        <v>0</v>
      </c>
      <c r="AN62" s="46"/>
      <c r="AO62" s="46"/>
      <c r="AP62" s="46"/>
      <c r="AQ62" s="46"/>
      <c r="AR62" s="46"/>
      <c r="AS62" s="46"/>
    </row>
    <row r="63" spans="2:45" ht="15" hidden="1" customHeight="1">
      <c r="B63" s="70" t="s">
        <v>93</v>
      </c>
      <c r="C63" s="71" t="s">
        <v>50</v>
      </c>
      <c r="D63" s="72" t="s">
        <v>42</v>
      </c>
      <c r="E63" s="73"/>
      <c r="F63" s="96" t="str">
        <f t="shared" si="8"/>
        <v>n/a</v>
      </c>
      <c r="G63" s="97"/>
      <c r="H63" s="97"/>
      <c r="I63" s="13">
        <f t="shared" si="9"/>
        <v>0</v>
      </c>
      <c r="J63" s="93" t="s">
        <v>48</v>
      </c>
      <c r="K63" s="93" t="s">
        <v>48</v>
      </c>
      <c r="L63" s="94" t="s">
        <v>48</v>
      </c>
      <c r="M63" s="93" t="s">
        <v>48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  <c r="Z63" s="93">
        <v>0</v>
      </c>
      <c r="AA63" s="93">
        <v>0</v>
      </c>
      <c r="AB63" s="93">
        <v>0</v>
      </c>
      <c r="AC63" s="93">
        <v>0</v>
      </c>
      <c r="AD63" s="93">
        <v>0</v>
      </c>
      <c r="AE63" s="93">
        <v>0</v>
      </c>
      <c r="AF63" s="93">
        <v>0</v>
      </c>
      <c r="AG63" s="93">
        <v>0</v>
      </c>
      <c r="AH63" s="93">
        <v>0</v>
      </c>
      <c r="AI63" s="93">
        <v>0</v>
      </c>
      <c r="AJ63" s="93">
        <v>0</v>
      </c>
      <c r="AK63" s="93">
        <v>0</v>
      </c>
      <c r="AN63" s="46"/>
      <c r="AO63" s="46"/>
      <c r="AP63" s="46"/>
      <c r="AQ63" s="46"/>
      <c r="AR63" s="46"/>
      <c r="AS63" s="46"/>
    </row>
    <row r="64" spans="2:45" ht="15" hidden="1" customHeight="1">
      <c r="B64" s="70" t="s">
        <v>94</v>
      </c>
      <c r="C64" s="71" t="s">
        <v>50</v>
      </c>
      <c r="D64" s="72" t="s">
        <v>42</v>
      </c>
      <c r="E64" s="73"/>
      <c r="F64" s="96" t="str">
        <f t="shared" si="8"/>
        <v>n/a</v>
      </c>
      <c r="G64" s="97"/>
      <c r="H64" s="97"/>
      <c r="I64" s="13">
        <f t="shared" si="9"/>
        <v>0</v>
      </c>
      <c r="J64" s="93" t="s">
        <v>48</v>
      </c>
      <c r="K64" s="93" t="s">
        <v>48</v>
      </c>
      <c r="L64" s="94" t="s">
        <v>48</v>
      </c>
      <c r="M64" s="93" t="s">
        <v>48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>
        <v>0</v>
      </c>
      <c r="AG64" s="93">
        <v>0</v>
      </c>
      <c r="AH64" s="93">
        <v>0</v>
      </c>
      <c r="AI64" s="93">
        <v>0</v>
      </c>
      <c r="AJ64" s="93">
        <v>0</v>
      </c>
      <c r="AK64" s="93">
        <v>0</v>
      </c>
      <c r="AN64" s="46"/>
      <c r="AO64" s="46"/>
      <c r="AP64" s="46"/>
      <c r="AQ64" s="46"/>
      <c r="AR64" s="46"/>
      <c r="AS64" s="46"/>
    </row>
    <row r="65" spans="2:45" ht="15" hidden="1" customHeight="1">
      <c r="B65" s="70" t="s">
        <v>95</v>
      </c>
      <c r="C65" s="71" t="s">
        <v>50</v>
      </c>
      <c r="D65" s="72" t="s">
        <v>42</v>
      </c>
      <c r="E65" s="73"/>
      <c r="F65" s="96" t="str">
        <f t="shared" si="8"/>
        <v>n/a</v>
      </c>
      <c r="G65" s="97"/>
      <c r="H65" s="97"/>
      <c r="I65" s="13">
        <f t="shared" si="9"/>
        <v>0</v>
      </c>
      <c r="J65" s="93" t="s">
        <v>48</v>
      </c>
      <c r="K65" s="93" t="s">
        <v>48</v>
      </c>
      <c r="L65" s="94" t="s">
        <v>48</v>
      </c>
      <c r="M65" s="93" t="s">
        <v>48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  <c r="Z65" s="93">
        <v>0</v>
      </c>
      <c r="AA65" s="93">
        <v>0</v>
      </c>
      <c r="AB65" s="93">
        <v>0</v>
      </c>
      <c r="AC65" s="93">
        <v>0</v>
      </c>
      <c r="AD65" s="93">
        <v>0</v>
      </c>
      <c r="AE65" s="93">
        <v>0</v>
      </c>
      <c r="AF65" s="93">
        <v>0</v>
      </c>
      <c r="AG65" s="93">
        <v>0</v>
      </c>
      <c r="AH65" s="93">
        <v>0</v>
      </c>
      <c r="AI65" s="93">
        <v>0</v>
      </c>
      <c r="AJ65" s="93">
        <v>0</v>
      </c>
      <c r="AK65" s="93">
        <v>0</v>
      </c>
      <c r="AN65" s="46"/>
      <c r="AO65" s="46"/>
      <c r="AP65" s="46"/>
      <c r="AQ65" s="46"/>
      <c r="AR65" s="46"/>
      <c r="AS65" s="46"/>
    </row>
    <row r="66" spans="2:45" ht="15" hidden="1" customHeight="1">
      <c r="B66" s="70" t="s">
        <v>96</v>
      </c>
      <c r="C66" s="71" t="s">
        <v>50</v>
      </c>
      <c r="D66" s="72" t="s">
        <v>42</v>
      </c>
      <c r="E66" s="73"/>
      <c r="F66" s="96" t="str">
        <f t="shared" si="8"/>
        <v>n/a</v>
      </c>
      <c r="G66" s="97"/>
      <c r="H66" s="97"/>
      <c r="I66" s="13">
        <f t="shared" si="9"/>
        <v>0</v>
      </c>
      <c r="J66" s="93" t="s">
        <v>48</v>
      </c>
      <c r="K66" s="93" t="s">
        <v>48</v>
      </c>
      <c r="L66" s="94" t="s">
        <v>48</v>
      </c>
      <c r="M66" s="93" t="s">
        <v>48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93">
        <v>0</v>
      </c>
      <c r="AH66" s="93">
        <v>0</v>
      </c>
      <c r="AI66" s="93">
        <v>0</v>
      </c>
      <c r="AJ66" s="93">
        <v>0</v>
      </c>
      <c r="AK66" s="93">
        <v>0</v>
      </c>
      <c r="AN66" s="46"/>
      <c r="AO66" s="46"/>
      <c r="AP66" s="46"/>
      <c r="AQ66" s="46"/>
      <c r="AR66" s="46"/>
      <c r="AS66" s="46"/>
    </row>
    <row r="67" spans="2:45" ht="15" hidden="1" customHeight="1">
      <c r="B67" s="70" t="s">
        <v>97</v>
      </c>
      <c r="C67" s="71" t="s">
        <v>50</v>
      </c>
      <c r="D67" s="72" t="s">
        <v>42</v>
      </c>
      <c r="E67" s="73"/>
      <c r="F67" s="96" t="str">
        <f t="shared" si="8"/>
        <v>n/a</v>
      </c>
      <c r="G67" s="97"/>
      <c r="H67" s="97"/>
      <c r="I67" s="13">
        <f t="shared" si="9"/>
        <v>0</v>
      </c>
      <c r="J67" s="93" t="s">
        <v>48</v>
      </c>
      <c r="K67" s="93" t="s">
        <v>48</v>
      </c>
      <c r="L67" s="94" t="s">
        <v>48</v>
      </c>
      <c r="M67" s="93" t="s">
        <v>48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  <c r="Z67" s="93">
        <v>0</v>
      </c>
      <c r="AA67" s="93">
        <v>0</v>
      </c>
      <c r="AB67" s="93">
        <v>0</v>
      </c>
      <c r="AC67" s="93">
        <v>0</v>
      </c>
      <c r="AD67" s="93">
        <v>0</v>
      </c>
      <c r="AE67" s="93">
        <v>0</v>
      </c>
      <c r="AF67" s="93">
        <v>0</v>
      </c>
      <c r="AG67" s="93">
        <v>0</v>
      </c>
      <c r="AH67" s="93">
        <v>0</v>
      </c>
      <c r="AI67" s="93">
        <v>0</v>
      </c>
      <c r="AJ67" s="93">
        <v>0</v>
      </c>
      <c r="AK67" s="93">
        <v>0</v>
      </c>
      <c r="AN67" s="46"/>
      <c r="AO67" s="46"/>
      <c r="AP67" s="46"/>
      <c r="AQ67" s="46"/>
      <c r="AR67" s="46"/>
      <c r="AS67" s="46"/>
    </row>
    <row r="68" spans="2:45" ht="15" hidden="1" customHeight="1">
      <c r="B68" s="70" t="s">
        <v>98</v>
      </c>
      <c r="C68" s="71" t="s">
        <v>50</v>
      </c>
      <c r="D68" s="72" t="s">
        <v>42</v>
      </c>
      <c r="E68" s="73"/>
      <c r="F68" s="96" t="str">
        <f t="shared" si="8"/>
        <v>n/a</v>
      </c>
      <c r="G68" s="97"/>
      <c r="H68" s="97"/>
      <c r="I68" s="13">
        <f t="shared" si="9"/>
        <v>0</v>
      </c>
      <c r="J68" s="93" t="s">
        <v>48</v>
      </c>
      <c r="K68" s="93" t="s">
        <v>48</v>
      </c>
      <c r="L68" s="94" t="s">
        <v>48</v>
      </c>
      <c r="M68" s="93" t="s">
        <v>48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>
        <v>0</v>
      </c>
      <c r="AG68" s="93">
        <v>0</v>
      </c>
      <c r="AH68" s="93">
        <v>0</v>
      </c>
      <c r="AI68" s="93">
        <v>0</v>
      </c>
      <c r="AJ68" s="93">
        <v>0</v>
      </c>
      <c r="AK68" s="93">
        <v>0</v>
      </c>
      <c r="AN68" s="46"/>
      <c r="AO68" s="46"/>
      <c r="AP68" s="46"/>
      <c r="AQ68" s="46"/>
      <c r="AR68" s="46"/>
      <c r="AS68" s="46"/>
    </row>
    <row r="69" spans="2:45" ht="15" hidden="1" customHeight="1">
      <c r="B69" s="70" t="s">
        <v>99</v>
      </c>
      <c r="C69" s="71" t="s">
        <v>50</v>
      </c>
      <c r="D69" s="72" t="s">
        <v>42</v>
      </c>
      <c r="E69" s="73"/>
      <c r="F69" s="96" t="str">
        <f t="shared" si="8"/>
        <v>n/a</v>
      </c>
      <c r="G69" s="97"/>
      <c r="H69" s="97"/>
      <c r="I69" s="13">
        <f t="shared" si="9"/>
        <v>0</v>
      </c>
      <c r="J69" s="93" t="s">
        <v>48</v>
      </c>
      <c r="K69" s="93" t="s">
        <v>48</v>
      </c>
      <c r="L69" s="94" t="s">
        <v>48</v>
      </c>
      <c r="M69" s="93" t="s">
        <v>48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>
        <v>0</v>
      </c>
      <c r="AG69" s="93">
        <v>0</v>
      </c>
      <c r="AH69" s="93">
        <v>0</v>
      </c>
      <c r="AI69" s="93">
        <v>0</v>
      </c>
      <c r="AJ69" s="93">
        <v>0</v>
      </c>
      <c r="AK69" s="93">
        <v>0</v>
      </c>
      <c r="AN69" s="46"/>
      <c r="AO69" s="46"/>
      <c r="AP69" s="46"/>
      <c r="AQ69" s="46"/>
      <c r="AR69" s="46"/>
      <c r="AS69" s="46"/>
    </row>
    <row r="70" spans="2:45" ht="15" hidden="1" customHeight="1">
      <c r="B70" s="70" t="s">
        <v>100</v>
      </c>
      <c r="C70" s="71" t="s">
        <v>50</v>
      </c>
      <c r="D70" s="72" t="s">
        <v>36</v>
      </c>
      <c r="E70" s="73"/>
      <c r="F70" s="96" t="str">
        <f t="shared" si="8"/>
        <v>n/a</v>
      </c>
      <c r="G70" s="89"/>
      <c r="H70" s="89"/>
      <c r="I70" s="13">
        <f t="shared" si="9"/>
        <v>0</v>
      </c>
      <c r="J70" s="93" t="s">
        <v>48</v>
      </c>
      <c r="K70" s="93" t="s">
        <v>48</v>
      </c>
      <c r="L70" s="94" t="s">
        <v>48</v>
      </c>
      <c r="M70" s="93" t="s">
        <v>48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93">
        <v>0</v>
      </c>
      <c r="AH70" s="93">
        <v>0</v>
      </c>
      <c r="AI70" s="93">
        <v>0</v>
      </c>
      <c r="AJ70" s="93">
        <v>0</v>
      </c>
      <c r="AK70" s="93">
        <v>0</v>
      </c>
      <c r="AN70" s="46"/>
      <c r="AO70" s="46"/>
      <c r="AP70" s="46"/>
      <c r="AQ70" s="46"/>
      <c r="AR70" s="46"/>
      <c r="AS70" s="46"/>
    </row>
    <row r="71" spans="2:45" ht="15" hidden="1" customHeight="1">
      <c r="B71" s="70" t="s">
        <v>101</v>
      </c>
      <c r="C71" s="71" t="s">
        <v>50</v>
      </c>
      <c r="D71" s="72" t="s">
        <v>36</v>
      </c>
      <c r="E71" s="73"/>
      <c r="F71" s="96" t="str">
        <f t="shared" si="8"/>
        <v>n/a</v>
      </c>
      <c r="G71" s="13"/>
      <c r="H71" s="13"/>
      <c r="I71" s="13">
        <f t="shared" si="9"/>
        <v>0</v>
      </c>
      <c r="J71" s="93" t="s">
        <v>48</v>
      </c>
      <c r="K71" s="93" t="s">
        <v>48</v>
      </c>
      <c r="L71" s="94" t="s">
        <v>48</v>
      </c>
      <c r="M71" s="93" t="s">
        <v>48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93">
        <v>0</v>
      </c>
      <c r="AH71" s="93">
        <v>0</v>
      </c>
      <c r="AI71" s="93">
        <v>0</v>
      </c>
      <c r="AJ71" s="93">
        <v>0</v>
      </c>
      <c r="AK71" s="93">
        <v>0</v>
      </c>
      <c r="AN71" s="46"/>
      <c r="AO71" s="46"/>
      <c r="AP71" s="46"/>
      <c r="AQ71" s="46"/>
      <c r="AR71" s="46"/>
      <c r="AS71" s="46"/>
    </row>
    <row r="72" spans="2:45" ht="15" hidden="1" customHeight="1">
      <c r="B72" s="70" t="s">
        <v>102</v>
      </c>
      <c r="C72" s="71" t="s">
        <v>50</v>
      </c>
      <c r="D72" s="72" t="s">
        <v>36</v>
      </c>
      <c r="E72" s="73"/>
      <c r="F72" s="96" t="str">
        <f t="shared" si="8"/>
        <v>n/a</v>
      </c>
      <c r="G72" s="13"/>
      <c r="H72" s="13"/>
      <c r="I72" s="13">
        <f t="shared" si="9"/>
        <v>0</v>
      </c>
      <c r="J72" s="93" t="s">
        <v>48</v>
      </c>
      <c r="K72" s="93" t="s">
        <v>48</v>
      </c>
      <c r="L72" s="94" t="s">
        <v>48</v>
      </c>
      <c r="M72" s="93" t="s">
        <v>48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  <c r="Z72" s="93">
        <v>0</v>
      </c>
      <c r="AA72" s="93">
        <v>0</v>
      </c>
      <c r="AB72" s="93">
        <v>0</v>
      </c>
      <c r="AC72" s="93">
        <v>0</v>
      </c>
      <c r="AD72" s="93">
        <v>0</v>
      </c>
      <c r="AE72" s="93">
        <v>0</v>
      </c>
      <c r="AF72" s="93">
        <v>0</v>
      </c>
      <c r="AG72" s="93">
        <v>0</v>
      </c>
      <c r="AH72" s="93">
        <v>0</v>
      </c>
      <c r="AI72" s="93">
        <v>0</v>
      </c>
      <c r="AJ72" s="93">
        <v>0</v>
      </c>
      <c r="AK72" s="93">
        <v>0</v>
      </c>
      <c r="AN72" s="46"/>
      <c r="AO72" s="46"/>
      <c r="AP72" s="46"/>
      <c r="AQ72" s="46"/>
      <c r="AR72" s="46"/>
      <c r="AS72" s="46"/>
    </row>
    <row r="73" spans="2:45" ht="15" hidden="1" customHeight="1" outlineLevel="1">
      <c r="B73" s="70" t="s">
        <v>103</v>
      </c>
      <c r="C73" s="71" t="s">
        <v>104</v>
      </c>
      <c r="D73" s="72" t="s">
        <v>105</v>
      </c>
      <c r="E73" s="73"/>
      <c r="F73" s="96" t="str">
        <f t="shared" si="8"/>
        <v>n/a</v>
      </c>
      <c r="G73" s="13"/>
      <c r="H73" s="13"/>
      <c r="I73" s="13">
        <f t="shared" si="9"/>
        <v>0</v>
      </c>
      <c r="J73" s="93" t="s">
        <v>48</v>
      </c>
      <c r="K73" s="93" t="s">
        <v>48</v>
      </c>
      <c r="L73" s="94" t="s">
        <v>48</v>
      </c>
      <c r="M73" s="93" t="s">
        <v>48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  <c r="Z73" s="93">
        <v>0</v>
      </c>
      <c r="AA73" s="93">
        <v>0</v>
      </c>
      <c r="AB73" s="93">
        <v>0</v>
      </c>
      <c r="AC73" s="93">
        <v>0</v>
      </c>
      <c r="AD73" s="93">
        <v>0</v>
      </c>
      <c r="AE73" s="93">
        <v>0</v>
      </c>
      <c r="AF73" s="93">
        <v>0</v>
      </c>
      <c r="AG73" s="93">
        <v>0</v>
      </c>
      <c r="AH73" s="93">
        <v>0</v>
      </c>
      <c r="AI73" s="93">
        <v>0</v>
      </c>
      <c r="AJ73" s="93">
        <v>0</v>
      </c>
      <c r="AK73" s="93">
        <v>0</v>
      </c>
      <c r="AN73" s="46"/>
      <c r="AO73" s="46"/>
      <c r="AP73" s="46"/>
      <c r="AQ73" s="46"/>
      <c r="AR73" s="46"/>
      <c r="AS73" s="46"/>
    </row>
    <row r="74" spans="2:45" ht="15" hidden="1" customHeight="1" outlineLevel="1">
      <c r="B74" s="70" t="s">
        <v>106</v>
      </c>
      <c r="C74" s="71" t="s">
        <v>107</v>
      </c>
      <c r="D74" s="72" t="s">
        <v>59</v>
      </c>
      <c r="E74" s="73"/>
      <c r="F74" s="96" t="str">
        <f t="shared" si="8"/>
        <v>n/a</v>
      </c>
      <c r="G74" s="13"/>
      <c r="H74" s="13"/>
      <c r="I74" s="13">
        <f t="shared" si="9"/>
        <v>0</v>
      </c>
      <c r="J74" s="93" t="s">
        <v>48</v>
      </c>
      <c r="K74" s="93" t="s">
        <v>48</v>
      </c>
      <c r="L74" s="94" t="s">
        <v>48</v>
      </c>
      <c r="M74" s="93" t="s">
        <v>48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  <c r="Z74" s="93">
        <v>0</v>
      </c>
      <c r="AA74" s="93">
        <v>0</v>
      </c>
      <c r="AB74" s="93">
        <v>0</v>
      </c>
      <c r="AC74" s="93">
        <v>0</v>
      </c>
      <c r="AD74" s="93">
        <v>0</v>
      </c>
      <c r="AE74" s="93">
        <v>0</v>
      </c>
      <c r="AF74" s="93">
        <v>0</v>
      </c>
      <c r="AG74" s="93">
        <v>0</v>
      </c>
      <c r="AH74" s="93">
        <v>0</v>
      </c>
      <c r="AI74" s="93">
        <v>0</v>
      </c>
      <c r="AJ74" s="93">
        <v>0</v>
      </c>
      <c r="AK74" s="93">
        <v>0</v>
      </c>
      <c r="AN74" s="46"/>
      <c r="AO74" s="46"/>
      <c r="AP74" s="46"/>
      <c r="AQ74" s="46"/>
      <c r="AR74" s="46"/>
      <c r="AS74" s="46"/>
    </row>
    <row r="75" spans="2:45" ht="13.8" outlineLevel="1">
      <c r="B75" s="70" t="s">
        <v>108</v>
      </c>
      <c r="C75" s="71" t="s">
        <v>109</v>
      </c>
      <c r="D75" s="72" t="s">
        <v>59</v>
      </c>
      <c r="E75" s="73"/>
      <c r="F75" s="98" t="str">
        <f>IF(COUNT($J$19:$AK$19)=COUNT(J75:AK75),IF(ISNUMBER(F198),ROUND(F198,2),""),"n/a")</f>
        <v/>
      </c>
      <c r="G75" s="13"/>
      <c r="H75" s="13"/>
      <c r="I75" s="13">
        <f t="shared" si="9"/>
        <v>0</v>
      </c>
      <c r="J75" s="81">
        <v>0</v>
      </c>
      <c r="K75" s="81">
        <v>32.880000000000003</v>
      </c>
      <c r="L75" s="91">
        <v>49.68</v>
      </c>
      <c r="M75" s="81">
        <v>32.869999999999997</v>
      </c>
      <c r="N75" s="81">
        <v>75</v>
      </c>
      <c r="O75" s="81">
        <v>5</v>
      </c>
      <c r="P75" s="81">
        <v>0</v>
      </c>
      <c r="Q75" s="81">
        <v>0</v>
      </c>
      <c r="R75" s="81">
        <v>0</v>
      </c>
      <c r="S75" s="81">
        <v>0</v>
      </c>
      <c r="T75" s="81">
        <v>0</v>
      </c>
      <c r="U75" s="81">
        <v>0</v>
      </c>
      <c r="V75" s="81">
        <v>0</v>
      </c>
      <c r="W75" s="81">
        <v>0</v>
      </c>
      <c r="X75" s="81">
        <v>0</v>
      </c>
      <c r="Y75" s="81">
        <v>0</v>
      </c>
      <c r="Z75" s="81">
        <v>0</v>
      </c>
      <c r="AA75" s="81">
        <v>0</v>
      </c>
      <c r="AB75" s="81">
        <v>0</v>
      </c>
      <c r="AC75" s="81">
        <v>0</v>
      </c>
      <c r="AD75" s="81">
        <v>0</v>
      </c>
      <c r="AE75" s="81">
        <v>0</v>
      </c>
      <c r="AF75" s="81">
        <v>0</v>
      </c>
      <c r="AG75" s="81">
        <v>0</v>
      </c>
      <c r="AH75" s="81">
        <v>0</v>
      </c>
      <c r="AI75" s="81">
        <v>0</v>
      </c>
      <c r="AJ75" s="81">
        <v>0</v>
      </c>
      <c r="AK75" s="81">
        <v>0</v>
      </c>
      <c r="AN75" s="46"/>
      <c r="AO75" s="46"/>
      <c r="AP75" s="46"/>
      <c r="AQ75" s="46"/>
      <c r="AR75" s="46"/>
      <c r="AS75" s="46"/>
    </row>
    <row r="76" spans="2:45" ht="15" hidden="1" customHeight="1" outlineLevel="1">
      <c r="B76" s="70" t="s">
        <v>110</v>
      </c>
      <c r="C76" s="71" t="s">
        <v>109</v>
      </c>
      <c r="D76" s="72" t="s">
        <v>59</v>
      </c>
      <c r="E76" s="73"/>
      <c r="F76" s="96" t="str">
        <f>IF(COUNT($J$19:$AK$19)=COUNT(J76:AK76),IF(ISNUMBER(F198),ROUND(F198,2),""),"n/a")</f>
        <v/>
      </c>
      <c r="G76" s="13"/>
      <c r="H76" s="13"/>
      <c r="I76" s="13">
        <f t="shared" si="9"/>
        <v>0</v>
      </c>
      <c r="J76" s="93">
        <f t="shared" ref="J76:AK76" si="10">IFERROR(J75+J74,)</f>
        <v>0</v>
      </c>
      <c r="K76" s="93">
        <f t="shared" si="10"/>
        <v>0</v>
      </c>
      <c r="L76" s="93">
        <f t="shared" si="10"/>
        <v>0</v>
      </c>
      <c r="M76" s="93">
        <f t="shared" si="10"/>
        <v>0</v>
      </c>
      <c r="N76" s="93">
        <f t="shared" si="10"/>
        <v>75</v>
      </c>
      <c r="O76" s="93">
        <f t="shared" si="10"/>
        <v>5</v>
      </c>
      <c r="P76" s="93">
        <f t="shared" si="10"/>
        <v>0</v>
      </c>
      <c r="Q76" s="93">
        <f t="shared" si="10"/>
        <v>0</v>
      </c>
      <c r="R76" s="93">
        <f t="shared" si="10"/>
        <v>0</v>
      </c>
      <c r="S76" s="93">
        <f t="shared" si="10"/>
        <v>0</v>
      </c>
      <c r="T76" s="93">
        <f t="shared" si="10"/>
        <v>0</v>
      </c>
      <c r="U76" s="93">
        <f t="shared" si="10"/>
        <v>0</v>
      </c>
      <c r="V76" s="93">
        <f t="shared" si="10"/>
        <v>0</v>
      </c>
      <c r="W76" s="93">
        <f t="shared" si="10"/>
        <v>0</v>
      </c>
      <c r="X76" s="93">
        <f t="shared" si="10"/>
        <v>0</v>
      </c>
      <c r="Y76" s="93">
        <f t="shared" si="10"/>
        <v>0</v>
      </c>
      <c r="Z76" s="93">
        <f t="shared" si="10"/>
        <v>0</v>
      </c>
      <c r="AA76" s="93">
        <f t="shared" si="10"/>
        <v>0</v>
      </c>
      <c r="AB76" s="93">
        <f t="shared" si="10"/>
        <v>0</v>
      </c>
      <c r="AC76" s="93">
        <f t="shared" si="10"/>
        <v>0</v>
      </c>
      <c r="AD76" s="93">
        <f t="shared" si="10"/>
        <v>0</v>
      </c>
      <c r="AE76" s="93">
        <f t="shared" si="10"/>
        <v>0</v>
      </c>
      <c r="AF76" s="93">
        <f t="shared" si="10"/>
        <v>0</v>
      </c>
      <c r="AG76" s="93">
        <f t="shared" si="10"/>
        <v>0</v>
      </c>
      <c r="AH76" s="93">
        <f t="shared" si="10"/>
        <v>0</v>
      </c>
      <c r="AI76" s="93">
        <f t="shared" si="10"/>
        <v>0</v>
      </c>
      <c r="AJ76" s="93">
        <f t="shared" si="10"/>
        <v>0</v>
      </c>
      <c r="AK76" s="93">
        <f t="shared" si="10"/>
        <v>0</v>
      </c>
      <c r="AN76" s="46"/>
      <c r="AO76" s="46"/>
      <c r="AP76" s="46"/>
      <c r="AQ76" s="46"/>
      <c r="AR76" s="46"/>
      <c r="AS76" s="46"/>
    </row>
    <row r="77" spans="2:45" ht="15" hidden="1" customHeight="1">
      <c r="B77" s="70" t="s">
        <v>111</v>
      </c>
      <c r="C77" s="71" t="s">
        <v>112</v>
      </c>
      <c r="D77" s="72"/>
      <c r="E77" s="73"/>
      <c r="F77" s="96" t="str">
        <f>IF(COUNT($J$19:$AK$19)=COUNT(J77:AK77),IF(ISNUMBER(F199),ROUND(F199,2),""),"n/a")</f>
        <v/>
      </c>
      <c r="G77" s="89" t="str">
        <f>IF(ISNUMBER(F77),ROUND(F77*0.005,0),"")</f>
        <v/>
      </c>
      <c r="H77" s="89" t="str">
        <f>IF(ISNUMBER(F77),ROUND(F77*0.008,0),"")</f>
        <v/>
      </c>
      <c r="I77" s="13"/>
      <c r="J77" s="93">
        <v>0</v>
      </c>
      <c r="K77" s="93">
        <v>0</v>
      </c>
      <c r="L77" s="93">
        <v>0</v>
      </c>
      <c r="M77" s="93">
        <v>0</v>
      </c>
      <c r="N77" s="93">
        <v>0</v>
      </c>
      <c r="O77" s="93">
        <v>0</v>
      </c>
      <c r="P77" s="93">
        <v>0</v>
      </c>
      <c r="Q77" s="93">
        <v>0</v>
      </c>
      <c r="R77" s="93">
        <v>0</v>
      </c>
      <c r="S77" s="93">
        <v>0</v>
      </c>
      <c r="T77" s="93">
        <v>0</v>
      </c>
      <c r="U77" s="93">
        <v>0</v>
      </c>
      <c r="V77" s="93">
        <v>0</v>
      </c>
      <c r="W77" s="93">
        <v>0</v>
      </c>
      <c r="X77" s="93">
        <v>0</v>
      </c>
      <c r="Y77" s="93">
        <v>0</v>
      </c>
      <c r="Z77" s="93">
        <v>0</v>
      </c>
      <c r="AA77" s="93">
        <v>0</v>
      </c>
      <c r="AB77" s="93">
        <v>0</v>
      </c>
      <c r="AC77" s="93">
        <v>0</v>
      </c>
      <c r="AD77" s="93">
        <v>0</v>
      </c>
      <c r="AE77" s="93">
        <v>0</v>
      </c>
      <c r="AF77" s="93">
        <v>0</v>
      </c>
      <c r="AG77" s="93">
        <v>0</v>
      </c>
      <c r="AH77" s="93">
        <v>0</v>
      </c>
      <c r="AI77" s="93">
        <v>0</v>
      </c>
      <c r="AJ77" s="93">
        <v>0</v>
      </c>
      <c r="AK77" s="93">
        <v>0</v>
      </c>
      <c r="AN77" s="46"/>
      <c r="AO77" s="46"/>
      <c r="AP77" s="46"/>
      <c r="AQ77" s="46"/>
      <c r="AR77" s="46"/>
      <c r="AS77" s="46"/>
    </row>
    <row r="78" spans="2:45" ht="15" hidden="1" customHeight="1">
      <c r="B78" s="70" t="s">
        <v>113</v>
      </c>
      <c r="C78" s="71" t="s">
        <v>114</v>
      </c>
      <c r="D78" s="72" t="s">
        <v>42</v>
      </c>
      <c r="E78" s="73"/>
      <c r="F78" s="96" t="str">
        <f>IF(COUNT($J$19:$AK$19)=COUNT(J78:AK78),IF(ISNUMBER(F200),ROUND(F200,2),""),"n/a")</f>
        <v/>
      </c>
      <c r="G78" s="78" t="str">
        <f>IF(ISNUMBER(E78),0.3,"")</f>
        <v/>
      </c>
      <c r="H78" s="78" t="str">
        <f>IF(ISNUMBER(F78),0.7,"")</f>
        <v/>
      </c>
      <c r="I78" s="13" t="str">
        <f>IF($I$27=$H$27,H78,IF($I$27=$G$27,G78,""))</f>
        <v/>
      </c>
      <c r="J78" s="93">
        <v>0</v>
      </c>
      <c r="K78" s="93">
        <v>0</v>
      </c>
      <c r="L78" s="93">
        <v>0</v>
      </c>
      <c r="M78" s="93">
        <v>0</v>
      </c>
      <c r="N78" s="93">
        <v>0</v>
      </c>
      <c r="O78" s="93">
        <v>0</v>
      </c>
      <c r="P78" s="93">
        <v>0</v>
      </c>
      <c r="Q78" s="93">
        <v>0</v>
      </c>
      <c r="R78" s="93">
        <v>0</v>
      </c>
      <c r="S78" s="93">
        <v>0</v>
      </c>
      <c r="T78" s="93">
        <v>0</v>
      </c>
      <c r="U78" s="93">
        <v>0</v>
      </c>
      <c r="V78" s="93">
        <v>0</v>
      </c>
      <c r="W78" s="93">
        <v>0</v>
      </c>
      <c r="X78" s="93">
        <v>0</v>
      </c>
      <c r="Y78" s="93">
        <v>0</v>
      </c>
      <c r="Z78" s="93">
        <v>0</v>
      </c>
      <c r="AA78" s="93">
        <v>0</v>
      </c>
      <c r="AB78" s="93">
        <v>0</v>
      </c>
      <c r="AC78" s="93">
        <v>0</v>
      </c>
      <c r="AD78" s="93">
        <v>0</v>
      </c>
      <c r="AE78" s="93">
        <v>0</v>
      </c>
      <c r="AF78" s="93">
        <v>0</v>
      </c>
      <c r="AG78" s="93">
        <v>0</v>
      </c>
      <c r="AH78" s="93">
        <v>0</v>
      </c>
      <c r="AI78" s="93">
        <v>0</v>
      </c>
      <c r="AJ78" s="93">
        <v>0</v>
      </c>
      <c r="AK78" s="93">
        <v>0</v>
      </c>
      <c r="AN78" s="46"/>
      <c r="AO78" s="46"/>
      <c r="AP78" s="46"/>
      <c r="AQ78" s="46"/>
      <c r="AR78" s="46"/>
      <c r="AS78" s="46"/>
    </row>
    <row r="79" spans="2:45" ht="14.55" hidden="1" customHeight="1">
      <c r="B79" s="70" t="s">
        <v>115</v>
      </c>
      <c r="C79" s="71"/>
      <c r="D79" s="72"/>
      <c r="E79" s="73"/>
      <c r="F79" s="96" t="str">
        <f>IF(COUNT($J$19:$AK$19)=COUNT(J79:AK79),IF(ISNUMBER(F201),ROUND(F201,2),""),"n/a")</f>
        <v/>
      </c>
      <c r="G79" s="78"/>
      <c r="H79" s="78"/>
      <c r="I79" s="13"/>
      <c r="J79" s="93">
        <v>0</v>
      </c>
      <c r="K79" s="93">
        <v>0</v>
      </c>
      <c r="L79" s="93">
        <v>0</v>
      </c>
      <c r="M79" s="93">
        <v>0</v>
      </c>
      <c r="N79" s="93">
        <v>0</v>
      </c>
      <c r="O79" s="93">
        <v>0</v>
      </c>
      <c r="P79" s="93">
        <v>0</v>
      </c>
      <c r="Q79" s="93">
        <v>0</v>
      </c>
      <c r="R79" s="93">
        <v>0</v>
      </c>
      <c r="S79" s="93">
        <v>0</v>
      </c>
      <c r="T79" s="93">
        <v>0</v>
      </c>
      <c r="U79" s="93">
        <v>0</v>
      </c>
      <c r="V79" s="93">
        <v>0</v>
      </c>
      <c r="W79" s="93">
        <v>0</v>
      </c>
      <c r="X79" s="93">
        <v>0</v>
      </c>
      <c r="Y79" s="93">
        <v>0</v>
      </c>
      <c r="Z79" s="93">
        <v>0</v>
      </c>
      <c r="AA79" s="93">
        <v>0</v>
      </c>
      <c r="AB79" s="93">
        <v>0</v>
      </c>
      <c r="AC79" s="93">
        <v>0</v>
      </c>
      <c r="AD79" s="93">
        <v>0</v>
      </c>
      <c r="AE79" s="93">
        <v>0</v>
      </c>
      <c r="AF79" s="93">
        <v>0</v>
      </c>
      <c r="AG79" s="93">
        <v>0</v>
      </c>
      <c r="AH79" s="93">
        <v>0</v>
      </c>
      <c r="AI79" s="93">
        <v>0</v>
      </c>
      <c r="AJ79" s="93">
        <v>0</v>
      </c>
      <c r="AK79" s="93">
        <v>0</v>
      </c>
      <c r="AN79" s="46"/>
      <c r="AO79" s="46"/>
      <c r="AP79" s="46"/>
      <c r="AQ79" s="46"/>
      <c r="AR79" s="46"/>
      <c r="AS79" s="46"/>
    </row>
    <row r="80" spans="2:45" ht="13.8">
      <c r="F80" s="3" t="s">
        <v>116</v>
      </c>
      <c r="J80" s="3">
        <v>13</v>
      </c>
      <c r="K80" s="99">
        <v>-8</v>
      </c>
      <c r="L80" s="99">
        <v>-6</v>
      </c>
      <c r="M80" s="99">
        <v>-8</v>
      </c>
      <c r="N80" s="99">
        <v>-90</v>
      </c>
      <c r="O80" s="99">
        <v>-3.5</v>
      </c>
      <c r="P80" s="99">
        <v>60</v>
      </c>
      <c r="Q80" s="99">
        <v>-58</v>
      </c>
      <c r="R80" s="99">
        <v>-100</v>
      </c>
      <c r="S80" s="99">
        <v>20</v>
      </c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N80" s="46"/>
      <c r="AO80" s="46"/>
      <c r="AP80" s="46"/>
      <c r="AQ80" s="46"/>
      <c r="AR80" s="46"/>
      <c r="AS80" s="46"/>
    </row>
    <row r="81" spans="2:45" ht="14.4" thickBot="1">
      <c r="E81" s="100" t="s">
        <v>117</v>
      </c>
      <c r="F81" s="100">
        <f>SUM(J81:AK81)</f>
        <v>0</v>
      </c>
      <c r="J81" s="101">
        <f t="shared" ref="J81:T81" si="11">J80*J24</f>
        <v>0</v>
      </c>
      <c r="K81" s="101">
        <f t="shared" si="11"/>
        <v>0</v>
      </c>
      <c r="L81" s="101">
        <f t="shared" si="11"/>
        <v>0</v>
      </c>
      <c r="M81" s="101">
        <f t="shared" si="11"/>
        <v>0</v>
      </c>
      <c r="N81" s="101">
        <f>N80*N24</f>
        <v>0</v>
      </c>
      <c r="O81" s="101">
        <f t="shared" si="11"/>
        <v>0</v>
      </c>
      <c r="P81" s="101">
        <f t="shared" si="11"/>
        <v>0</v>
      </c>
      <c r="Q81" s="101">
        <f t="shared" si="11"/>
        <v>0</v>
      </c>
      <c r="R81" s="101">
        <f t="shared" si="11"/>
        <v>0</v>
      </c>
      <c r="S81" s="101">
        <f t="shared" si="11"/>
        <v>0</v>
      </c>
      <c r="T81" s="101">
        <f t="shared" si="11"/>
        <v>0</v>
      </c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N81" s="46"/>
      <c r="AO81" s="46"/>
      <c r="AP81" s="46"/>
      <c r="AQ81" s="46"/>
      <c r="AR81" s="46"/>
      <c r="AS81" s="46"/>
    </row>
    <row r="82" spans="2:45" ht="14.4" thickTop="1">
      <c r="K82" s="99"/>
      <c r="L82" s="99"/>
      <c r="M82" s="99"/>
      <c r="Q82" s="99"/>
      <c r="AN82" s="46"/>
      <c r="AO82" s="46"/>
      <c r="AP82" s="46"/>
      <c r="AQ82" s="46"/>
      <c r="AR82" s="46"/>
      <c r="AS82" s="46"/>
    </row>
    <row r="83" spans="2:45">
      <c r="B83" s="70" t="s">
        <v>34</v>
      </c>
      <c r="C83" s="71" t="s">
        <v>35</v>
      </c>
      <c r="D83" s="72" t="s">
        <v>36</v>
      </c>
      <c r="E83" s="73">
        <v>0.5</v>
      </c>
      <c r="F83" s="79">
        <v>0.1</v>
      </c>
      <c r="J83" s="102"/>
      <c r="K83" s="103"/>
      <c r="L83" s="104"/>
      <c r="N83" s="104"/>
      <c r="O83" s="104"/>
      <c r="P83" s="104"/>
      <c r="R83" s="104"/>
      <c r="S83" s="104"/>
      <c r="AC83" s="99"/>
      <c r="AL83" s="105"/>
    </row>
    <row r="84" spans="2:45">
      <c r="B84" s="70" t="s">
        <v>37</v>
      </c>
      <c r="C84" s="71" t="s">
        <v>38</v>
      </c>
      <c r="D84" s="72" t="s">
        <v>39</v>
      </c>
      <c r="E84" s="73">
        <v>0.5</v>
      </c>
      <c r="F84" s="79">
        <v>0.48</v>
      </c>
      <c r="J84" s="102"/>
      <c r="AC84" s="99"/>
    </row>
    <row r="85" spans="2:45">
      <c r="B85" s="70" t="s">
        <v>40</v>
      </c>
      <c r="C85" s="71" t="s">
        <v>41</v>
      </c>
      <c r="D85" s="72" t="s">
        <v>42</v>
      </c>
      <c r="E85" s="73">
        <v>60</v>
      </c>
      <c r="F85" s="93">
        <v>83</v>
      </c>
      <c r="J85" s="99"/>
      <c r="AC85" s="99"/>
      <c r="AF85" s="106"/>
      <c r="AG85" s="106"/>
      <c r="AH85" s="106"/>
      <c r="AI85" s="106"/>
      <c r="AJ85" s="106"/>
      <c r="AK85" s="106"/>
    </row>
    <row r="86" spans="2:45">
      <c r="B86" s="70" t="s">
        <v>43</v>
      </c>
      <c r="C86" s="71" t="s">
        <v>44</v>
      </c>
      <c r="D86" s="72" t="s">
        <v>42</v>
      </c>
      <c r="E86" s="73">
        <v>30</v>
      </c>
      <c r="F86" s="93">
        <v>24</v>
      </c>
      <c r="J86" s="99"/>
      <c r="AC86" s="99"/>
    </row>
    <row r="87" spans="2:45">
      <c r="B87" s="70" t="s">
        <v>61</v>
      </c>
      <c r="C87" s="71" t="s">
        <v>58</v>
      </c>
      <c r="D87" s="72" t="s">
        <v>59</v>
      </c>
      <c r="E87" s="73">
        <v>35</v>
      </c>
      <c r="F87" s="93">
        <v>21</v>
      </c>
      <c r="J87" s="99"/>
      <c r="M87" s="106"/>
      <c r="Q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99"/>
    </row>
    <row r="88" spans="2:45">
      <c r="B88" s="70" t="s">
        <v>62</v>
      </c>
      <c r="C88" s="71" t="s">
        <v>58</v>
      </c>
      <c r="D88" s="72" t="s">
        <v>59</v>
      </c>
      <c r="E88" s="73">
        <v>25</v>
      </c>
      <c r="F88" s="93">
        <v>15</v>
      </c>
      <c r="AC88" s="99"/>
      <c r="AF88" s="104"/>
      <c r="AG88" s="104"/>
      <c r="AH88" s="104"/>
      <c r="AI88" s="104"/>
      <c r="AJ88" s="104"/>
      <c r="AK88" s="104"/>
    </row>
    <row r="89" spans="2:45">
      <c r="B89" s="70" t="s">
        <v>69</v>
      </c>
      <c r="C89" s="71" t="s">
        <v>58</v>
      </c>
      <c r="D89" s="72" t="s">
        <v>59</v>
      </c>
      <c r="E89" s="73">
        <v>30</v>
      </c>
      <c r="F89" s="93">
        <v>4</v>
      </c>
      <c r="J89" s="99"/>
    </row>
    <row r="90" spans="2:45">
      <c r="B90" s="70" t="s">
        <v>88</v>
      </c>
      <c r="C90" s="71"/>
      <c r="D90" s="72" t="s">
        <v>59</v>
      </c>
      <c r="E90" s="73">
        <v>60</v>
      </c>
      <c r="F90" s="93">
        <f>F88+F87</f>
        <v>36</v>
      </c>
      <c r="J90" s="99"/>
      <c r="M90" s="104"/>
      <c r="Q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99"/>
    </row>
    <row r="91" spans="2:45">
      <c r="B91" s="70" t="s">
        <v>72</v>
      </c>
      <c r="C91" s="71"/>
      <c r="D91" s="72"/>
      <c r="E91" s="73">
        <v>0.1</v>
      </c>
      <c r="F91" s="79">
        <v>0.01</v>
      </c>
      <c r="J91" s="99"/>
      <c r="AC91" s="99"/>
    </row>
    <row r="92" spans="2:45">
      <c r="J92" s="102"/>
      <c r="O92" s="99"/>
      <c r="AC92" s="99"/>
    </row>
    <row r="93" spans="2:45">
      <c r="L93" s="99"/>
      <c r="M93" s="104"/>
      <c r="N93" s="104"/>
      <c r="P93" s="104"/>
      <c r="AC93" s="99"/>
    </row>
    <row r="94" spans="2:45">
      <c r="L94" s="99"/>
      <c r="AC94" s="99"/>
    </row>
    <row r="95" spans="2:45">
      <c r="L95" s="99"/>
      <c r="AC95" s="99"/>
    </row>
    <row r="96" spans="2:45">
      <c r="L96" s="99"/>
    </row>
    <row r="97" spans="2:37">
      <c r="L97" s="99"/>
      <c r="O97" s="106"/>
      <c r="Q97" s="106"/>
    </row>
    <row r="98" spans="2:37">
      <c r="L98" s="99"/>
    </row>
    <row r="99" spans="2:37">
      <c r="L99" s="99"/>
    </row>
    <row r="100" spans="2:37">
      <c r="L100" s="99"/>
      <c r="O100" s="104"/>
      <c r="Q100" s="104"/>
    </row>
    <row r="102" spans="2:37">
      <c r="L102" s="99"/>
    </row>
    <row r="103" spans="2:37">
      <c r="B103" s="107"/>
      <c r="C103" s="107"/>
      <c r="L103" s="99"/>
    </row>
    <row r="104" spans="2:37">
      <c r="L104" s="99"/>
    </row>
    <row r="105" spans="2:37">
      <c r="L105" s="99"/>
      <c r="AC105" s="99"/>
    </row>
    <row r="106" spans="2:37">
      <c r="L106" s="99"/>
      <c r="AC106" s="99"/>
    </row>
    <row r="107" spans="2:37">
      <c r="L107" s="99"/>
      <c r="AC107" s="99"/>
      <c r="AF107" s="106"/>
      <c r="AG107" s="106"/>
      <c r="AH107" s="106"/>
      <c r="AI107" s="106"/>
      <c r="AJ107" s="106"/>
      <c r="AK107" s="106"/>
    </row>
    <row r="108" spans="2:37">
      <c r="AC108" s="99"/>
    </row>
    <row r="109" spans="2:37">
      <c r="AC109" s="99"/>
    </row>
    <row r="110" spans="2:37">
      <c r="AC110" s="99"/>
      <c r="AF110" s="104"/>
      <c r="AG110" s="104"/>
      <c r="AH110" s="104"/>
      <c r="AI110" s="104"/>
      <c r="AJ110" s="104"/>
      <c r="AK110" s="104"/>
    </row>
    <row r="112" spans="2:37">
      <c r="AC112" s="99"/>
    </row>
    <row r="113" spans="14:29">
      <c r="AC113" s="99"/>
    </row>
    <row r="114" spans="14:29">
      <c r="AC114" s="99"/>
    </row>
    <row r="115" spans="14:29">
      <c r="N115" s="99"/>
      <c r="O115" s="99"/>
      <c r="P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</row>
    <row r="116" spans="14:29">
      <c r="N116" s="99"/>
      <c r="O116" s="99"/>
      <c r="P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</row>
    <row r="117" spans="14:29">
      <c r="N117" s="99"/>
      <c r="O117" s="99"/>
      <c r="P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</row>
    <row r="118" spans="14:29">
      <c r="N118" s="99"/>
      <c r="O118" s="99"/>
      <c r="P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</row>
    <row r="119" spans="14:29">
      <c r="N119" s="99"/>
      <c r="O119" s="99"/>
      <c r="P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</row>
    <row r="120" spans="14:29">
      <c r="N120" s="99"/>
      <c r="O120" s="99"/>
      <c r="P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</row>
    <row r="121" spans="14:29">
      <c r="N121" s="108"/>
      <c r="O121" s="108"/>
      <c r="P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</row>
    <row r="122" spans="14:29">
      <c r="N122" s="99"/>
      <c r="O122" s="99"/>
      <c r="P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</row>
    <row r="123" spans="14:29">
      <c r="N123" s="99"/>
      <c r="O123" s="99"/>
      <c r="P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</row>
    <row r="143" spans="2:37">
      <c r="B143" s="109" t="s">
        <v>118</v>
      </c>
      <c r="D143" s="110"/>
      <c r="E143" s="110"/>
      <c r="F143" s="110" t="str">
        <f>IF(SUM(J143:AK143)&gt;0,SUM(J143:AK143),"")</f>
        <v/>
      </c>
      <c r="G143" s="110"/>
      <c r="H143" s="110"/>
      <c r="I143" s="110"/>
      <c r="J143" s="110" t="str">
        <f>IF(ISNUMBER(#REF!),#REF!*J$24,"")</f>
        <v/>
      </c>
      <c r="K143" s="110" t="str">
        <f>IF(ISNUMBER(#REF!),#REF!*K$24,"")</f>
        <v/>
      </c>
      <c r="L143" s="110" t="str">
        <f>IF(ISNUMBER(#REF!),#REF!*L$24,"")</f>
        <v/>
      </c>
      <c r="M143" s="110" t="str">
        <f>IF(ISNUMBER(#REF!),#REF!*M$24,"")</f>
        <v/>
      </c>
      <c r="N143" s="110" t="str">
        <f>IF(ISNUMBER(#REF!),#REF!*N$24,"")</f>
        <v/>
      </c>
      <c r="O143" s="110" t="str">
        <f>IF(ISNUMBER(#REF!),#REF!*O$24,"")</f>
        <v/>
      </c>
      <c r="P143" s="110" t="str">
        <f>IF(ISNUMBER(#REF!),#REF!*P$24,"")</f>
        <v/>
      </c>
      <c r="Q143" s="110" t="str">
        <f>IF(ISNUMBER(#REF!),#REF!*Q$24,"")</f>
        <v/>
      </c>
      <c r="R143" s="110" t="str">
        <f>IF(ISNUMBER(#REF!),#REF!*R$24,"")</f>
        <v/>
      </c>
      <c r="S143" s="110" t="str">
        <f>IF(ISNUMBER(#REF!),#REF!*S$24,"")</f>
        <v/>
      </c>
      <c r="T143" s="110" t="str">
        <f>IF(ISNUMBER(#REF!),#REF!*T$24,"")</f>
        <v/>
      </c>
      <c r="U143" s="110" t="str">
        <f>IF(ISNUMBER(#REF!),#REF!*U$24,"")</f>
        <v/>
      </c>
      <c r="V143" s="110" t="str">
        <f>IF(ISNUMBER(#REF!),#REF!*V$24,"")</f>
        <v/>
      </c>
      <c r="W143" s="110" t="str">
        <f>IF(ISNUMBER(#REF!),#REF!*W$24,"")</f>
        <v/>
      </c>
      <c r="X143" s="110" t="str">
        <f>IF(ISNUMBER(#REF!),#REF!*X$24,"")</f>
        <v/>
      </c>
      <c r="Y143" s="110" t="str">
        <f>IF(ISNUMBER(#REF!),#REF!*Y$24,"")</f>
        <v/>
      </c>
      <c r="Z143" s="110" t="str">
        <f>IF(ISNUMBER(#REF!),#REF!*Z$24,"")</f>
        <v/>
      </c>
      <c r="AA143" s="110" t="str">
        <f>IF(ISNUMBER(#REF!),#REF!*AA$24,"")</f>
        <v/>
      </c>
      <c r="AB143" s="110" t="str">
        <f>IF(ISNUMBER(#REF!),#REF!*AE$24,"")</f>
        <v/>
      </c>
      <c r="AC143" s="110" t="str">
        <f>IF(ISNUMBER(#REF!),#REF!*AB$24,"")</f>
        <v/>
      </c>
      <c r="AD143" s="110" t="str">
        <f>IF(ISNUMBER(#REF!),#REF!*AC$24,"")</f>
        <v/>
      </c>
      <c r="AE143" s="110" t="str">
        <f>IF(ISNUMBER(#REF!),#REF!*AF$24,"")</f>
        <v/>
      </c>
      <c r="AF143" s="110" t="str">
        <f>IF(ISNUMBER(#REF!),#REF!*AD$24,"")</f>
        <v/>
      </c>
      <c r="AG143" s="110" t="str">
        <f>IF(ISNUMBER(#REF!),#REF!*AG$24,"")</f>
        <v/>
      </c>
      <c r="AH143" s="110" t="str">
        <f>IF(ISNUMBER(#REF!),#REF!*AH$24,"")</f>
        <v/>
      </c>
      <c r="AI143" s="110" t="str">
        <f>IF(ISNUMBER(#REF!),#REF!*AI$24,"")</f>
        <v/>
      </c>
      <c r="AJ143" s="110" t="str">
        <f>IF(ISNUMBER(#REF!),#REF!*AJ$24,"")</f>
        <v/>
      </c>
      <c r="AK143" s="110" t="str">
        <f>IF(ISNUMBER(#REF!),#REF!*AK$24,"")</f>
        <v/>
      </c>
    </row>
    <row r="144" spans="2:37">
      <c r="B144" s="109" t="s">
        <v>119</v>
      </c>
      <c r="D144" s="110"/>
      <c r="E144" s="110"/>
      <c r="F144" s="110" t="str">
        <f>IF(SUM(J144:AK144)&gt;0,SUM(J144:AK144),"")</f>
        <v/>
      </c>
      <c r="G144" s="110"/>
      <c r="H144" s="110"/>
      <c r="I144" s="110"/>
      <c r="J144" s="110">
        <f t="shared" ref="J144:AA144" si="12">IF(AND(ISNUMBER(J19),ISNUMBER(J28)),ROUND(J19/J28,3),"")</f>
        <v>0</v>
      </c>
      <c r="K144" s="110">
        <f t="shared" si="12"/>
        <v>0</v>
      </c>
      <c r="L144" s="110">
        <f t="shared" si="12"/>
        <v>0</v>
      </c>
      <c r="M144" s="110">
        <f t="shared" si="12"/>
        <v>0</v>
      </c>
      <c r="N144" s="110">
        <f t="shared" si="12"/>
        <v>0</v>
      </c>
      <c r="O144" s="110">
        <f t="shared" si="12"/>
        <v>0</v>
      </c>
      <c r="P144" s="110">
        <f t="shared" si="12"/>
        <v>0</v>
      </c>
      <c r="Q144" s="110">
        <f t="shared" si="12"/>
        <v>0</v>
      </c>
      <c r="R144" s="110">
        <f t="shared" si="12"/>
        <v>0</v>
      </c>
      <c r="S144" s="110">
        <f t="shared" si="12"/>
        <v>0</v>
      </c>
      <c r="T144" s="110">
        <f t="shared" si="12"/>
        <v>0</v>
      </c>
      <c r="U144" s="110">
        <f t="shared" si="12"/>
        <v>0</v>
      </c>
      <c r="V144" s="110">
        <f t="shared" si="12"/>
        <v>0</v>
      </c>
      <c r="W144" s="110">
        <f t="shared" si="12"/>
        <v>0</v>
      </c>
      <c r="X144" s="110">
        <f t="shared" si="12"/>
        <v>0</v>
      </c>
      <c r="Y144" s="110">
        <f t="shared" si="12"/>
        <v>0</v>
      </c>
      <c r="Z144" s="110">
        <f t="shared" si="12"/>
        <v>0</v>
      </c>
      <c r="AA144" s="110">
        <f t="shared" si="12"/>
        <v>0</v>
      </c>
      <c r="AB144" s="110">
        <f>IF(AND(ISNUMBER(AE19),ISNUMBER(AE28)),ROUND(AE19/AE28,3),"")</f>
        <v>0</v>
      </c>
      <c r="AC144" s="110">
        <f>IF(AND(ISNUMBER(AB19),ISNUMBER(AB28)),ROUND(AB19/AB28,3),"")</f>
        <v>0</v>
      </c>
      <c r="AD144" s="110">
        <f>IF(AND(ISNUMBER(AC19),ISNUMBER(AC28)),ROUND(AC19/AC28,3),"")</f>
        <v>0</v>
      </c>
      <c r="AE144" s="110">
        <f>IF(AND(ISNUMBER(AF19),ISNUMBER(AF28)),ROUND(AF19/AF28,3),"")</f>
        <v>0</v>
      </c>
      <c r="AF144" s="110">
        <f>IF(AND(ISNUMBER(AD19),ISNUMBER(AD28)),ROUND(AD19/AD28,3),"")</f>
        <v>0</v>
      </c>
      <c r="AG144" s="110">
        <f>IF(AND(ISNUMBER(AG19),ISNUMBER(AG28)),ROUND(AG19/AG28,3),"")</f>
        <v>0</v>
      </c>
      <c r="AH144" s="110">
        <f>IF(AND(ISNUMBER(AH19),ISNUMBER(AH28)),ROUND(AH19/AH28,3),"")</f>
        <v>0</v>
      </c>
      <c r="AI144" s="110">
        <f>IF(AND(ISNUMBER(AI19),ISNUMBER(AI28)),ROUND(AI19/AI28,3),"")</f>
        <v>0</v>
      </c>
      <c r="AJ144" s="110">
        <f>IF(AND(ISNUMBER(AJ19),ISNUMBER(AJ28)),ROUND(AJ19/AJ28,3),"")</f>
        <v>0</v>
      </c>
      <c r="AK144" s="110">
        <f>IF(AND(ISNUMBER(AK19),ISNUMBER(AK28)),ROUND(AK19/AK28,3),"")</f>
        <v>0</v>
      </c>
    </row>
    <row r="145" spans="2:37">
      <c r="B145" s="111" t="s">
        <v>120</v>
      </c>
      <c r="D145" s="110"/>
      <c r="E145" s="110"/>
      <c r="F145" s="110" t="str">
        <f>IF(ISNUMBER(F28),ROUND((F28-INDEX($B$209:$B$224,MATCH(F28,$B$209:$B$224),1))*(INDEX($C$209:$C$224,MATCH(F28,$B$209:$B$224)+1)-INDEX($C$209:$C$224,MATCH(F28,$B$209:$B$224)))/(INDEX($B$209:$B$224,MATCH(F28,$B$209:$B$224)+1,1)-INDEX($B$209:$B$224,MATCH(F28,$B$209:$B$224),1))+INDEX($C$209:$C$224,MATCH(F28,$B$209:$B$224)),5),"")</f>
        <v/>
      </c>
      <c r="G145" s="110"/>
      <c r="H145" s="110"/>
      <c r="I145" s="110"/>
      <c r="J145" s="110">
        <f t="shared" ref="J145:AA145" si="13">IF(ISNUMBER(J28),ROUND((J28-INDEX($B$209:$B$224,MATCH(J28,$B$209:$B$224),1))*(INDEX($C$209:$C$224,MATCH(J28,$B$209:$B$224)+1)-INDEX($C$209:$C$224,MATCH(J28,$B$209:$B$224)))/(INDEX($B$209:$B$224,MATCH(J28,$B$209:$B$224)+1,1)-INDEX($B$209:$B$224,MATCH(J28,$B$209:$B$224),1))+INDEX($C$209:$C$224,MATCH(J28,$B$209:$B$224)),5),"")</f>
        <v>6.2919999999999998</v>
      </c>
      <c r="K145" s="110">
        <f t="shared" si="13"/>
        <v>6.2919999999999998</v>
      </c>
      <c r="L145" s="110">
        <f t="shared" si="13"/>
        <v>6.2919999999999998</v>
      </c>
      <c r="M145" s="110">
        <f t="shared" si="13"/>
        <v>6.2919999999999998</v>
      </c>
      <c r="N145" s="110">
        <f t="shared" si="13"/>
        <v>6.2919999999999998</v>
      </c>
      <c r="O145" s="110">
        <f t="shared" si="13"/>
        <v>6.2919999999999998</v>
      </c>
      <c r="P145" s="110">
        <f t="shared" si="13"/>
        <v>6.2919999999999998</v>
      </c>
      <c r="Q145" s="110">
        <f t="shared" si="13"/>
        <v>6.2919999999999998</v>
      </c>
      <c r="R145" s="110">
        <f t="shared" si="13"/>
        <v>6.2919999999999998</v>
      </c>
      <c r="S145" s="110">
        <f t="shared" si="13"/>
        <v>6.2930000000000001</v>
      </c>
      <c r="T145" s="110">
        <f t="shared" si="13"/>
        <v>6.2919999999999998</v>
      </c>
      <c r="U145" s="110">
        <f t="shared" si="13"/>
        <v>6.2919999999999998</v>
      </c>
      <c r="V145" s="110">
        <f t="shared" si="13"/>
        <v>6.2919999999999998</v>
      </c>
      <c r="W145" s="110">
        <f t="shared" si="13"/>
        <v>6.2919999999999998</v>
      </c>
      <c r="X145" s="110">
        <f t="shared" si="13"/>
        <v>6.2919999999999998</v>
      </c>
      <c r="Y145" s="110">
        <f t="shared" si="13"/>
        <v>6.2919999999999998</v>
      </c>
      <c r="Z145" s="110">
        <f t="shared" si="13"/>
        <v>6.2919999999999998</v>
      </c>
      <c r="AA145" s="110">
        <f t="shared" si="13"/>
        <v>6.2919999999999998</v>
      </c>
      <c r="AB145" s="110">
        <f>IF(ISNUMBER(AE28),ROUND((AE28-INDEX($B$209:$B$224,MATCH(AE28,$B$209:$B$224),1))*(INDEX($C$209:$C$224,MATCH(AE28,$B$209:$B$224)+1)-INDEX($C$209:$C$224,MATCH(AE28,$B$209:$B$224)))/(INDEX($B$209:$B$224,MATCH(AE28,$B$209:$B$224)+1,1)-INDEX($B$209:$B$224,MATCH(AE28,$B$209:$B$224),1))+INDEX($C$209:$C$224,MATCH(AE28,$B$209:$B$224)),5),"")</f>
        <v>6.2919999999999998</v>
      </c>
      <c r="AC145" s="110">
        <f>IF(ISNUMBER(AB28),ROUND((AB28-INDEX($B$209:$B$224,MATCH(AB28,$B$209:$B$224),1))*(INDEX($C$209:$C$224,MATCH(AB28,$B$209:$B$224)+1)-INDEX($C$209:$C$224,MATCH(AB28,$B$209:$B$224)))/(INDEX($B$209:$B$224,MATCH(AB28,$B$209:$B$224)+1,1)-INDEX($B$209:$B$224,MATCH(AB28,$B$209:$B$224),1))+INDEX($C$209:$C$224,MATCH(AB28,$B$209:$B$224)),5),"")</f>
        <v>6.2919999999999998</v>
      </c>
      <c r="AD145" s="110">
        <f>IF(ISNUMBER(AC28),ROUND((AC28-INDEX($B$209:$B$224,MATCH(AC28,$B$209:$B$224),1))*(INDEX($C$209:$C$224,MATCH(AC28,$B$209:$B$224)+1)-INDEX($C$209:$C$224,MATCH(AC28,$B$209:$B$224)))/(INDEX($B$209:$B$224,MATCH(AC28,$B$209:$B$224)+1,1)-INDEX($B$209:$B$224,MATCH(AC28,$B$209:$B$224),1))+INDEX($C$209:$C$224,MATCH(AC28,$B$209:$B$224)),5),"")</f>
        <v>6.2919999999999998</v>
      </c>
      <c r="AE145" s="110">
        <f>IF(ISNUMBER(AF28),ROUND((AF28-INDEX($B$209:$B$224,MATCH(AF28,$B$209:$B$224),1))*(INDEX($C$209:$C$224,MATCH(AF28,$B$209:$B$224)+1)-INDEX($C$209:$C$224,MATCH(AF28,$B$209:$B$224)))/(INDEX($B$209:$B$224,MATCH(AF28,$B$209:$B$224)+1,1)-INDEX($B$209:$B$224,MATCH(AF28,$B$209:$B$224),1))+INDEX($C$209:$C$224,MATCH(AF28,$B$209:$B$224)),5),"")</f>
        <v>6.2919999999999998</v>
      </c>
      <c r="AF145" s="110">
        <f>IF(ISNUMBER(AD28),ROUND((AD28-INDEX($B$209:$B$224,MATCH(AD28,$B$209:$B$224),1))*(INDEX($C$209:$C$224,MATCH(AD28,$B$209:$B$224)+1)-INDEX($C$209:$C$224,MATCH(AD28,$B$209:$B$224)))/(INDEX($B$209:$B$224,MATCH(AD28,$B$209:$B$224)+1,1)-INDEX($B$209:$B$224,MATCH(AD28,$B$209:$B$224),1))+INDEX($C$209:$C$224,MATCH(AD28,$B$209:$B$224)),5),"")</f>
        <v>6.2919999999999998</v>
      </c>
      <c r="AG145" s="110">
        <f>IF(ISNUMBER(AG28),ROUND((AG28-INDEX($B$209:$B$224,MATCH(AG28,$B$209:$B$224),1))*(INDEX($C$209:$C$224,MATCH(AG28,$B$209:$B$224)+1)-INDEX($C$209:$C$224,MATCH(AG28,$B$209:$B$224)))/(INDEX($B$209:$B$224,MATCH(AG28,$B$209:$B$224)+1,1)-INDEX($B$209:$B$224,MATCH(AG28,$B$209:$B$224),1))+INDEX($C$209:$C$224,MATCH(AG28,$B$209:$B$224)),5),"")</f>
        <v>6.2919999999999998</v>
      </c>
      <c r="AH145" s="110">
        <f>IF(ISNUMBER(AH28),ROUND((AH28-INDEX($B$209:$B$224,MATCH(AH28,$B$209:$B$224),1))*(INDEX($C$209:$C$224,MATCH(AH28,$B$209:$B$224)+1)-INDEX($C$209:$C$224,MATCH(AH28,$B$209:$B$224)))/(INDEX($B$209:$B$224,MATCH(AH28,$B$209:$B$224)+1,1)-INDEX($B$209:$B$224,MATCH(AH28,$B$209:$B$224),1))+INDEX($C$209:$C$224,MATCH(AH28,$B$209:$B$224)),5),"")</f>
        <v>6.2919999999999998</v>
      </c>
      <c r="AI145" s="110">
        <f>IF(ISNUMBER(AI28),ROUND((AI28-INDEX($B$209:$B$224,MATCH(AI28,$B$209:$B$224),1))*(INDEX($C$209:$C$224,MATCH(AI28,$B$209:$B$224)+1)-INDEX($C$209:$C$224,MATCH(AI28,$B$209:$B$224)))/(INDEX($B$209:$B$224,MATCH(AI28,$B$209:$B$224)+1,1)-INDEX($B$209:$B$224,MATCH(AI28,$B$209:$B$224),1))+INDEX($C$209:$C$224,MATCH(AI28,$B$209:$B$224)),5),"")</f>
        <v>6.2919999999999998</v>
      </c>
      <c r="AJ145" s="110">
        <f>IF(ISNUMBER(AJ28),ROUND((AJ28-INDEX($B$209:$B$224,MATCH(AJ28,$B$209:$B$224),1))*(INDEX($C$209:$C$224,MATCH(AJ28,$B$209:$B$224)+1)-INDEX($C$209:$C$224,MATCH(AJ28,$B$209:$B$224)))/(INDEX($B$209:$B$224,MATCH(AJ28,$B$209:$B$224)+1,1)-INDEX($B$209:$B$224,MATCH(AJ28,$B$209:$B$224),1))+INDEX($C$209:$C$224,MATCH(AJ28,$B$209:$B$224)),5),"")</f>
        <v>6.2919999999999998</v>
      </c>
      <c r="AK145" s="110">
        <f>IF(ISNUMBER(AK28),ROUND((AK28-INDEX($B$209:$B$224,MATCH(AK28,$B$209:$B$224),1))*(INDEX($C$209:$C$224,MATCH(AK28,$B$209:$B$224)+1)-INDEX($C$209:$C$224,MATCH(AK28,$B$209:$B$224)))/(INDEX($B$209:$B$224,MATCH(AK28,$B$209:$B$224)+1,1)-INDEX($B$209:$B$224,MATCH(AK28,$B$209:$B$224),1))+INDEX($C$209:$C$224,MATCH(AK28,$B$209:$B$224)),5),"")</f>
        <v>6.2919999999999998</v>
      </c>
    </row>
    <row r="146" spans="2:37">
      <c r="B146" s="112" t="s">
        <v>121</v>
      </c>
      <c r="D146" s="110"/>
      <c r="E146" s="110"/>
      <c r="F146" s="110" t="str">
        <f>IF(SUM(J146:AK146)&lt;&gt;0,SUM(J146:AK146),"")</f>
        <v/>
      </c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</row>
    <row r="147" spans="2:37">
      <c r="B147" s="112" t="s">
        <v>122</v>
      </c>
      <c r="D147" s="110"/>
      <c r="E147" s="110"/>
      <c r="F147" s="110" t="str">
        <f>IF(ISNUMBER(F28),F28*1000,"")</f>
        <v/>
      </c>
      <c r="G147" s="110"/>
      <c r="H147" s="110"/>
      <c r="I147" s="110"/>
      <c r="J147" s="110">
        <f t="shared" ref="J147:AA147" si="14">IF(ISNUMBER(J28),J28*1000,"")</f>
        <v>940</v>
      </c>
      <c r="K147" s="110">
        <f t="shared" si="14"/>
        <v>953.5</v>
      </c>
      <c r="L147" s="110">
        <f t="shared" si="14"/>
        <v>954.9</v>
      </c>
      <c r="M147" s="110">
        <f t="shared" si="14"/>
        <v>953.5</v>
      </c>
      <c r="N147" s="110">
        <f t="shared" si="14"/>
        <v>948.4</v>
      </c>
      <c r="O147" s="110">
        <f t="shared" si="14"/>
        <v>908.80000000000007</v>
      </c>
      <c r="P147" s="110">
        <f t="shared" si="14"/>
        <v>940</v>
      </c>
      <c r="Q147" s="110">
        <f t="shared" si="14"/>
        <v>940</v>
      </c>
      <c r="R147" s="110">
        <f t="shared" si="14"/>
        <v>1050</v>
      </c>
      <c r="S147" s="110">
        <f t="shared" si="14"/>
        <v>900</v>
      </c>
      <c r="T147" s="110">
        <f t="shared" si="14"/>
        <v>940</v>
      </c>
      <c r="U147" s="110">
        <f t="shared" si="14"/>
        <v>940</v>
      </c>
      <c r="V147" s="110">
        <f t="shared" si="14"/>
        <v>940</v>
      </c>
      <c r="W147" s="110">
        <f t="shared" si="14"/>
        <v>940</v>
      </c>
      <c r="X147" s="110">
        <f t="shared" si="14"/>
        <v>940</v>
      </c>
      <c r="Y147" s="110">
        <f t="shared" si="14"/>
        <v>940</v>
      </c>
      <c r="Z147" s="110">
        <f t="shared" si="14"/>
        <v>940</v>
      </c>
      <c r="AA147" s="110">
        <f t="shared" si="14"/>
        <v>940</v>
      </c>
      <c r="AB147" s="110">
        <f>IF(ISNUMBER(AE28),AE28*1000,"")</f>
        <v>940</v>
      </c>
      <c r="AC147" s="110">
        <f>IF(ISNUMBER(AB28),AB28*1000,"")</f>
        <v>940</v>
      </c>
      <c r="AD147" s="110">
        <f>IF(ISNUMBER(AC28),AC28*1000,"")</f>
        <v>940</v>
      </c>
      <c r="AE147" s="110">
        <f>IF(ISNUMBER(AF28),AF28*1000,"")</f>
        <v>940</v>
      </c>
      <c r="AF147" s="110">
        <f>IF(ISNUMBER(AD28),AD28*1000,"")</f>
        <v>940</v>
      </c>
      <c r="AG147" s="110">
        <f>IF(ISNUMBER(AG28),AG28*1000,"")</f>
        <v>940</v>
      </c>
      <c r="AH147" s="110">
        <f>IF(ISNUMBER(AH28),AH28*1000,"")</f>
        <v>940</v>
      </c>
      <c r="AI147" s="110">
        <f>IF(ISNUMBER(AI28),AI28*1000,"")</f>
        <v>940</v>
      </c>
      <c r="AJ147" s="110">
        <f>IF(ISNUMBER(AJ28),AJ28*1000,"")</f>
        <v>940</v>
      </c>
      <c r="AK147" s="110">
        <f>IF(ISNUMBER(AK28),AK28*1000,"")</f>
        <v>940</v>
      </c>
    </row>
    <row r="148" spans="2:37">
      <c r="B148" s="112" t="s">
        <v>123</v>
      </c>
      <c r="D148" s="110"/>
      <c r="E148" s="110"/>
      <c r="F148" s="110" t="str">
        <f>IF(SUM(J148:AK148)&lt;&gt;0,SUM(J148:AK148),"")</f>
        <v/>
      </c>
      <c r="G148" s="110"/>
      <c r="H148" s="110"/>
      <c r="I148" s="110"/>
      <c r="J148" s="110" t="str">
        <f>IF(AND(ISNUMBER(J19),ISNUMBER(#REF!)),#REF!*J$24,"")</f>
        <v/>
      </c>
      <c r="K148" s="110" t="str">
        <f>IF(AND(ISNUMBER(K19),ISNUMBER(#REF!)),#REF!*K$24,"")</f>
        <v/>
      </c>
      <c r="L148" s="110" t="str">
        <f>IF(AND(ISNUMBER(L19),ISNUMBER(#REF!)),#REF!*L$24,"")</f>
        <v/>
      </c>
      <c r="M148" s="110" t="str">
        <f>IF(AND(ISNUMBER(M19),ISNUMBER(#REF!)),#REF!*M$24,"")</f>
        <v/>
      </c>
      <c r="N148" s="110" t="str">
        <f>IF(AND(ISNUMBER(N19),ISNUMBER(#REF!)),#REF!*N$24,"")</f>
        <v/>
      </c>
      <c r="O148" s="110" t="str">
        <f>IF(AND(ISNUMBER(O19),ISNUMBER(#REF!)),#REF!*O$24,"")</f>
        <v/>
      </c>
      <c r="P148" s="110" t="str">
        <f>IF(AND(ISNUMBER(P19),ISNUMBER(#REF!)),#REF!*P$24,"")</f>
        <v/>
      </c>
      <c r="Q148" s="110" t="str">
        <f>IF(AND(ISNUMBER(Q19),ISNUMBER(#REF!)),#REF!*Q$24,"")</f>
        <v/>
      </c>
      <c r="R148" s="110" t="str">
        <f>IF(AND(ISNUMBER(R19),ISNUMBER(#REF!)),#REF!*R$24,"")</f>
        <v/>
      </c>
      <c r="S148" s="110" t="str">
        <f>IF(AND(ISNUMBER(S19),ISNUMBER(#REF!)),#REF!*S$24,"")</f>
        <v/>
      </c>
      <c r="T148" s="110" t="str">
        <f>IF(AND(ISNUMBER(T19),ISNUMBER(#REF!)),#REF!*T$24,"")</f>
        <v/>
      </c>
      <c r="U148" s="110" t="str">
        <f>IF(AND(ISNUMBER(U19),ISNUMBER(#REF!)),#REF!*U$24,"")</f>
        <v/>
      </c>
      <c r="V148" s="110" t="str">
        <f>IF(AND(ISNUMBER(V19),ISNUMBER(#REF!)),#REF!*V$24,"")</f>
        <v/>
      </c>
      <c r="W148" s="110" t="str">
        <f>IF(AND(ISNUMBER(W19),ISNUMBER(#REF!)),#REF!*W$24,"")</f>
        <v/>
      </c>
      <c r="X148" s="110" t="str">
        <f>IF(AND(ISNUMBER(X19),ISNUMBER(#REF!)),#REF!*X$24,"")</f>
        <v/>
      </c>
      <c r="Y148" s="110" t="str">
        <f>IF(AND(ISNUMBER(Y19),ISNUMBER(#REF!)),#REF!*Y$24,"")</f>
        <v/>
      </c>
      <c r="Z148" s="110" t="str">
        <f>IF(AND(ISNUMBER(Z19),ISNUMBER(#REF!)),#REF!*Z$24,"")</f>
        <v/>
      </c>
      <c r="AA148" s="110" t="str">
        <f>IF(AND(ISNUMBER(AA19),ISNUMBER(#REF!)),#REF!*AA$24,"")</f>
        <v/>
      </c>
      <c r="AB148" s="110" t="str">
        <f>IF(AND(ISNUMBER(AE19),ISNUMBER(#REF!)),#REF!*AE$24,"")</f>
        <v/>
      </c>
      <c r="AC148" s="110" t="str">
        <f>IF(AND(ISNUMBER(AB19),ISNUMBER(#REF!)),#REF!*AB$24,"")</f>
        <v/>
      </c>
      <c r="AD148" s="110" t="str">
        <f>IF(AND(ISNUMBER(AC19),ISNUMBER(#REF!)),#REF!*AC$24,"")</f>
        <v/>
      </c>
      <c r="AE148" s="110" t="str">
        <f>IF(AND(ISNUMBER(AF19),ISNUMBER(#REF!)),#REF!*AF$24,"")</f>
        <v/>
      </c>
      <c r="AF148" s="110" t="str">
        <f>IF(AND(ISNUMBER(AD19),ISNUMBER(#REF!)),#REF!*AD$24,"")</f>
        <v/>
      </c>
      <c r="AG148" s="110" t="str">
        <f>IF(AND(ISNUMBER(AG19),ISNUMBER(#REF!)),#REF!*AG$24,"")</f>
        <v/>
      </c>
      <c r="AH148" s="110" t="str">
        <f>IF(AND(ISNUMBER(AH19),ISNUMBER(#REF!)),#REF!*AH$24,"")</f>
        <v/>
      </c>
      <c r="AI148" s="110" t="str">
        <f>IF(AND(ISNUMBER(AI19),ISNUMBER(#REF!)),#REF!*AI$24,"")</f>
        <v/>
      </c>
      <c r="AJ148" s="110" t="str">
        <f>IF(AND(ISNUMBER(AJ19),ISNUMBER(#REF!)),#REF!*AJ$24,"")</f>
        <v/>
      </c>
      <c r="AK148" s="110" t="str">
        <f>IF(AND(ISNUMBER(AK19),ISNUMBER(#REF!)),#REF!*AK$24,"")</f>
        <v/>
      </c>
    </row>
    <row r="149" spans="2:37">
      <c r="B149" s="112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 t="str">
        <f>IF(AND(ISNUMBER(#REF!),ISNUMBER(AE28),ISNUMBER(#REF!)),ROUND(#REF!*#REF!*AE28,3),"")</f>
        <v/>
      </c>
      <c r="AC149" s="110" t="str">
        <f>IF(AND(ISNUMBER(#REF!),ISNUMBER(AB28),ISNUMBER(#REF!)),ROUND(#REF!*#REF!*AB28,3),"")</f>
        <v/>
      </c>
      <c r="AD149" s="110" t="str">
        <f>IF(AND(ISNUMBER(#REF!),ISNUMBER(AC28),ISNUMBER(#REF!)),ROUND(#REF!*#REF!*AC28,3),"")</f>
        <v/>
      </c>
      <c r="AE149" s="110" t="str">
        <f>IF(AND(ISNUMBER(#REF!),ISNUMBER(AF28),ISNUMBER(#REF!)),ROUND(#REF!*#REF!*AF28,3),"")</f>
        <v/>
      </c>
      <c r="AF149" s="110" t="str">
        <f>IF(AND(ISNUMBER(#REF!),ISNUMBER(AD28),ISNUMBER(#REF!)),ROUND(#REF!*#REF!*AD28,3),"")</f>
        <v/>
      </c>
      <c r="AG149" s="110" t="str">
        <f>IF(AND(ISNUMBER(#REF!),ISNUMBER(AG28),ISNUMBER(#REF!)),ROUND(#REF!*#REF!*AG28,3),"")</f>
        <v/>
      </c>
      <c r="AH149" s="110" t="str">
        <f>IF(AND(ISNUMBER(#REF!),ISNUMBER(AH28),ISNUMBER(#REF!)),ROUND(#REF!*#REF!*AH28,3),"")</f>
        <v/>
      </c>
      <c r="AI149" s="110" t="str">
        <f>IF(AND(ISNUMBER(#REF!),ISNUMBER(AI28),ISNUMBER(#REF!)),ROUND(#REF!*#REF!*AI28,3),"")</f>
        <v/>
      </c>
      <c r="AJ149" s="110" t="str">
        <f>IF(AND(ISNUMBER(#REF!),ISNUMBER(AJ28),ISNUMBER(#REF!)),ROUND(#REF!*#REF!*AJ28,3),"")</f>
        <v/>
      </c>
      <c r="AK149" s="110" t="str">
        <f>IF(AND(ISNUMBER(#REF!),ISNUMBER(AK28),ISNUMBER(#REF!)),ROUND(#REF!*#REF!*AK28,3),"")</f>
        <v/>
      </c>
    </row>
    <row r="150" spans="2:37">
      <c r="B150" s="113" t="s">
        <v>124</v>
      </c>
      <c r="D150" s="110"/>
      <c r="E150" s="110"/>
      <c r="F150" s="110" t="e">
        <f>ROUND(F19/F20,4)</f>
        <v>#VALUE!</v>
      </c>
      <c r="G150" s="110"/>
      <c r="H150" s="110"/>
      <c r="I150" s="110"/>
      <c r="J150" s="110"/>
      <c r="K150" s="110">
        <f t="shared" ref="K150:AA150" si="15">IF(ISNUMBER(K28),K28,"")</f>
        <v>0.95350000000000001</v>
      </c>
      <c r="L150" s="110">
        <f t="shared" si="15"/>
        <v>0.95489999999999997</v>
      </c>
      <c r="M150" s="110">
        <f t="shared" si="15"/>
        <v>0.95350000000000001</v>
      </c>
      <c r="N150" s="110">
        <f t="shared" si="15"/>
        <v>0.94840000000000002</v>
      </c>
      <c r="O150" s="110">
        <f t="shared" si="15"/>
        <v>0.90880000000000005</v>
      </c>
      <c r="P150" s="110">
        <f t="shared" si="15"/>
        <v>0.94</v>
      </c>
      <c r="Q150" s="110">
        <f t="shared" si="15"/>
        <v>0.94</v>
      </c>
      <c r="R150" s="110">
        <f t="shared" si="15"/>
        <v>1.05</v>
      </c>
      <c r="S150" s="110">
        <f t="shared" si="15"/>
        <v>0.9</v>
      </c>
      <c r="T150" s="110">
        <f t="shared" si="15"/>
        <v>0.94</v>
      </c>
      <c r="U150" s="110">
        <f t="shared" si="15"/>
        <v>0.94</v>
      </c>
      <c r="V150" s="110">
        <f t="shared" si="15"/>
        <v>0.94</v>
      </c>
      <c r="W150" s="110">
        <f t="shared" si="15"/>
        <v>0.94</v>
      </c>
      <c r="X150" s="110">
        <f t="shared" si="15"/>
        <v>0.94</v>
      </c>
      <c r="Y150" s="110">
        <f t="shared" si="15"/>
        <v>0.94</v>
      </c>
      <c r="Z150" s="110">
        <f t="shared" si="15"/>
        <v>0.94</v>
      </c>
      <c r="AA150" s="110">
        <f t="shared" si="15"/>
        <v>0.94</v>
      </c>
      <c r="AB150" s="110">
        <f>IF(ISNUMBER(AE28),AE28,"")</f>
        <v>0.94</v>
      </c>
      <c r="AC150" s="110">
        <f>IF(ISNUMBER(AB28),AB28,"")</f>
        <v>0.94</v>
      </c>
      <c r="AD150" s="110">
        <f>IF(ISNUMBER(AC28),AC28,"")</f>
        <v>0.94</v>
      </c>
      <c r="AE150" s="110">
        <f>IF(ISNUMBER(AF28),AF28,"")</f>
        <v>0.94</v>
      </c>
      <c r="AF150" s="110">
        <f>IF(ISNUMBER(AD28),AD28,"")</f>
        <v>0.94</v>
      </c>
      <c r="AG150" s="110">
        <f>IF(ISNUMBER(AG28),AG28,"")</f>
        <v>0.94</v>
      </c>
      <c r="AH150" s="110">
        <f>IF(ISNUMBER(AH28),AH28,"")</f>
        <v>0.94</v>
      </c>
      <c r="AI150" s="110">
        <f>IF(ISNUMBER(AI28),AI28,"")</f>
        <v>0.94</v>
      </c>
      <c r="AJ150" s="110">
        <f>IF(ISNUMBER(AJ28),AJ28,"")</f>
        <v>0.94</v>
      </c>
      <c r="AK150" s="110">
        <f>IF(ISNUMBER(AK28),AK28,"")</f>
        <v>0.94</v>
      </c>
    </row>
    <row r="151" spans="2:37">
      <c r="B151" s="109" t="s">
        <v>125</v>
      </c>
      <c r="D151" s="110"/>
      <c r="E151" s="110"/>
      <c r="F151" s="110" t="str">
        <f>IF(SUM(J151:AK151)&lt;&gt;0,SUM(J151:AK151),"")</f>
        <v/>
      </c>
      <c r="G151" s="110"/>
      <c r="H151" s="110"/>
      <c r="I151" s="110"/>
      <c r="J151" s="110" t="str">
        <f t="shared" ref="J151:AA151" si="16">IF(AND(ISNUMBER(J29),J$19&gt;0),J$24*LOG10(LOG10(J29+0.8)),"")</f>
        <v/>
      </c>
      <c r="K151" s="110" t="str">
        <f t="shared" si="16"/>
        <v/>
      </c>
      <c r="L151" s="110" t="str">
        <f t="shared" si="16"/>
        <v/>
      </c>
      <c r="M151" s="110" t="str">
        <f t="shared" si="16"/>
        <v/>
      </c>
      <c r="N151" s="110" t="str">
        <f t="shared" si="16"/>
        <v/>
      </c>
      <c r="O151" s="110" t="str">
        <f t="shared" si="16"/>
        <v/>
      </c>
      <c r="P151" s="110" t="str">
        <f t="shared" si="16"/>
        <v/>
      </c>
      <c r="Q151" s="110" t="str">
        <f t="shared" si="16"/>
        <v/>
      </c>
      <c r="R151" s="110" t="str">
        <f t="shared" si="16"/>
        <v/>
      </c>
      <c r="S151" s="110" t="str">
        <f t="shared" si="16"/>
        <v/>
      </c>
      <c r="T151" s="110" t="str">
        <f t="shared" si="16"/>
        <v/>
      </c>
      <c r="U151" s="110" t="str">
        <f t="shared" si="16"/>
        <v/>
      </c>
      <c r="V151" s="110" t="str">
        <f t="shared" si="16"/>
        <v/>
      </c>
      <c r="W151" s="110" t="str">
        <f t="shared" si="16"/>
        <v/>
      </c>
      <c r="X151" s="110" t="str">
        <f t="shared" si="16"/>
        <v/>
      </c>
      <c r="Y151" s="110" t="str">
        <f t="shared" si="16"/>
        <v/>
      </c>
      <c r="Z151" s="110" t="str">
        <f t="shared" si="16"/>
        <v/>
      </c>
      <c r="AA151" s="110" t="str">
        <f t="shared" si="16"/>
        <v/>
      </c>
      <c r="AB151" s="110" t="str">
        <f>IF(AND(ISNUMBER(AE29),AE$19&gt;0),AE$24*LOG10(LOG10(AE29+0.8)),"")</f>
        <v/>
      </c>
      <c r="AC151" s="110" t="str">
        <f>IF(AND(ISNUMBER(AB29),AB$19&gt;0),AB$24*LOG10(LOG10(AB29+0.8)),"")</f>
        <v/>
      </c>
      <c r="AD151" s="110" t="str">
        <f>IF(AND(ISNUMBER(AC29),AC$19&gt;0),AC$24*LOG10(LOG10(AC29+0.8)),"")</f>
        <v/>
      </c>
      <c r="AE151" s="110" t="str">
        <f>IF(AND(ISNUMBER(AF29),AF$19&gt;0),AF$24*LOG10(LOG10(AF29+0.8)),"")</f>
        <v/>
      </c>
      <c r="AF151" s="110" t="str">
        <f>IF(AND(ISNUMBER(AD29),AD$19&gt;0),AD$24*LOG10(LOG10(AD29+0.8)),"")</f>
        <v/>
      </c>
      <c r="AG151" s="110" t="str">
        <f>IF(AND(ISNUMBER(AG29),AG$19&gt;0),AG$24*LOG10(LOG10(AG29+0.8)),"")</f>
        <v/>
      </c>
      <c r="AH151" s="110" t="str">
        <f>IF(AND(ISNUMBER(AH29),AH$19&gt;0),AH$24*LOG10(LOG10(AH29+0.8)),"")</f>
        <v/>
      </c>
      <c r="AI151" s="110" t="str">
        <f>IF(AND(ISNUMBER(AI29),AI$19&gt;0),AI$24*LOG10(LOG10(AI29+0.8)),"")</f>
        <v/>
      </c>
      <c r="AJ151" s="110" t="str">
        <f>IF(AND(ISNUMBER(AJ29),AJ$19&gt;0),AJ$24*LOG10(LOG10(AJ29+0.8)),"")</f>
        <v/>
      </c>
      <c r="AK151" s="110" t="str">
        <f>IF(AND(ISNUMBER(AK29),AK$19&gt;0),AK$24*LOG10(LOG10(AK29+0.8)),"")</f>
        <v/>
      </c>
    </row>
    <row r="152" spans="2:37">
      <c r="B152" s="109" t="s">
        <v>34</v>
      </c>
      <c r="D152" s="110"/>
      <c r="E152" s="110"/>
      <c r="F152" s="110" t="str">
        <f>IF(SUM(J152:AK152)&gt;0,SUM(J152:AK152),"")</f>
        <v/>
      </c>
      <c r="G152" s="110"/>
      <c r="H152" s="110"/>
      <c r="I152" s="110"/>
      <c r="J152" s="110">
        <f t="shared" ref="J152:AA152" si="17">IF(ISNUMBER(J30),J30*J$24,"")</f>
        <v>0</v>
      </c>
      <c r="K152" s="110">
        <f t="shared" si="17"/>
        <v>0</v>
      </c>
      <c r="L152" s="110">
        <f t="shared" si="17"/>
        <v>0</v>
      </c>
      <c r="M152" s="110">
        <f t="shared" si="17"/>
        <v>0</v>
      </c>
      <c r="N152" s="110">
        <f t="shared" si="17"/>
        <v>0</v>
      </c>
      <c r="O152" s="110">
        <f t="shared" si="17"/>
        <v>0</v>
      </c>
      <c r="P152" s="110">
        <f t="shared" si="17"/>
        <v>0</v>
      </c>
      <c r="Q152" s="110">
        <f t="shared" si="17"/>
        <v>0</v>
      </c>
      <c r="R152" s="110">
        <f t="shared" si="17"/>
        <v>0</v>
      </c>
      <c r="S152" s="110">
        <f t="shared" si="17"/>
        <v>0</v>
      </c>
      <c r="T152" s="110">
        <f t="shared" si="17"/>
        <v>0</v>
      </c>
      <c r="U152" s="110">
        <f t="shared" si="17"/>
        <v>0</v>
      </c>
      <c r="V152" s="110">
        <f t="shared" si="17"/>
        <v>0</v>
      </c>
      <c r="W152" s="110">
        <f t="shared" si="17"/>
        <v>0</v>
      </c>
      <c r="X152" s="110">
        <f t="shared" si="17"/>
        <v>0</v>
      </c>
      <c r="Y152" s="110">
        <f t="shared" si="17"/>
        <v>0</v>
      </c>
      <c r="Z152" s="110">
        <f t="shared" si="17"/>
        <v>0</v>
      </c>
      <c r="AA152" s="110">
        <f t="shared" si="17"/>
        <v>0</v>
      </c>
      <c r="AB152" s="110">
        <f>IF(ISNUMBER(AE30),AE30*AE$24,"")</f>
        <v>0</v>
      </c>
      <c r="AC152" s="110">
        <f>IF(ISNUMBER(AB30),AB30*AB$24,"")</f>
        <v>0</v>
      </c>
      <c r="AD152" s="110">
        <f>IF(ISNUMBER(AC30),AC30*AC$24,"")</f>
        <v>0</v>
      </c>
      <c r="AE152" s="110">
        <f>IF(ISNUMBER(AF30),AF30*AF$24,"")</f>
        <v>0</v>
      </c>
      <c r="AF152" s="110">
        <f>IF(ISNUMBER(AD30),AD30*AD$24,"")</f>
        <v>0</v>
      </c>
      <c r="AG152" s="110">
        <f>IF(ISNUMBER(AG30),AG30*AG$24,"")</f>
        <v>0</v>
      </c>
      <c r="AH152" s="110">
        <f>IF(ISNUMBER(AH30),AH30*AH$24,"")</f>
        <v>0</v>
      </c>
      <c r="AI152" s="110">
        <f>IF(ISNUMBER(AI30),AI30*AI$24,"")</f>
        <v>0</v>
      </c>
      <c r="AJ152" s="110">
        <f>IF(ISNUMBER(AJ30),AJ30*AJ$24,"")</f>
        <v>0</v>
      </c>
      <c r="AK152" s="110">
        <f>IF(ISNUMBER(AK30),AK30*AK$24,"")</f>
        <v>0</v>
      </c>
    </row>
    <row r="153" spans="2:37">
      <c r="B153" s="113" t="s">
        <v>126</v>
      </c>
      <c r="D153" s="110"/>
      <c r="E153" s="110"/>
      <c r="F153" s="110" t="str">
        <f>IF(SUM(J153:AK153)&gt;0,SUM(J153:AK153),"")</f>
        <v/>
      </c>
      <c r="G153" s="110"/>
      <c r="H153" s="110"/>
      <c r="I153" s="110"/>
      <c r="J153" s="110">
        <f t="shared" ref="J153:AA153" si="18">IF(AND(ISNUMBER(J24),ISNUMBER(J31)),J31*J$24,"")</f>
        <v>0</v>
      </c>
      <c r="K153" s="110">
        <f t="shared" si="18"/>
        <v>0</v>
      </c>
      <c r="L153" s="110">
        <f t="shared" si="18"/>
        <v>0</v>
      </c>
      <c r="M153" s="110">
        <f t="shared" si="18"/>
        <v>0</v>
      </c>
      <c r="N153" s="110">
        <f t="shared" si="18"/>
        <v>0</v>
      </c>
      <c r="O153" s="110">
        <f t="shared" si="18"/>
        <v>0</v>
      </c>
      <c r="P153" s="110">
        <f t="shared" si="18"/>
        <v>0</v>
      </c>
      <c r="Q153" s="110">
        <f t="shared" si="18"/>
        <v>0</v>
      </c>
      <c r="R153" s="110">
        <f t="shared" si="18"/>
        <v>0</v>
      </c>
      <c r="S153" s="110">
        <f t="shared" si="18"/>
        <v>0</v>
      </c>
      <c r="T153" s="110">
        <f t="shared" si="18"/>
        <v>0</v>
      </c>
      <c r="U153" s="110">
        <f t="shared" si="18"/>
        <v>0</v>
      </c>
      <c r="V153" s="110">
        <f t="shared" si="18"/>
        <v>0</v>
      </c>
      <c r="W153" s="110">
        <f t="shared" si="18"/>
        <v>0</v>
      </c>
      <c r="X153" s="110">
        <f t="shared" si="18"/>
        <v>0</v>
      </c>
      <c r="Y153" s="110">
        <f t="shared" si="18"/>
        <v>0</v>
      </c>
      <c r="Z153" s="110">
        <f t="shared" si="18"/>
        <v>0</v>
      </c>
      <c r="AA153" s="110">
        <f t="shared" si="18"/>
        <v>0</v>
      </c>
      <c r="AB153" s="110">
        <f>IF(AND(ISNUMBER(AE24),ISNUMBER(AE31)),AE31*AE$24,"")</f>
        <v>0</v>
      </c>
      <c r="AC153" s="110">
        <f>IF(AND(ISNUMBER(AB24),ISNUMBER(AB31)),AB31*AB$24,"")</f>
        <v>0</v>
      </c>
      <c r="AD153" s="110">
        <f>IF(AND(ISNUMBER(AC24),ISNUMBER(AC31)),AC31*AC$24,"")</f>
        <v>0</v>
      </c>
      <c r="AE153" s="110">
        <f>IF(AND(ISNUMBER(AF24),ISNUMBER(AF31)),AF31*AF$24,"")</f>
        <v>0</v>
      </c>
      <c r="AF153" s="110">
        <f>IF(AND(ISNUMBER(AD24),ISNUMBER(AD31)),AD31*AD$24,"")</f>
        <v>0</v>
      </c>
      <c r="AG153" s="110">
        <f>IF(AND(ISNUMBER(AG24),ISNUMBER(AG31)),AG31*AG$24,"")</f>
        <v>0</v>
      </c>
      <c r="AH153" s="110">
        <f>IF(AND(ISNUMBER(AH24),ISNUMBER(AH31)),AH31*AH$24,"")</f>
        <v>0</v>
      </c>
      <c r="AI153" s="110">
        <f>IF(AND(ISNUMBER(AI24),ISNUMBER(AI31)),AI31*AI$24,"")</f>
        <v>0</v>
      </c>
      <c r="AJ153" s="110">
        <f>IF(AND(ISNUMBER(AJ24),ISNUMBER(AJ31)),AJ31*AJ$24,"")</f>
        <v>0</v>
      </c>
      <c r="AK153" s="110">
        <f>IF(AND(ISNUMBER(AK24),ISNUMBER(AK31)),AK31*AK$24,"")</f>
        <v>0</v>
      </c>
    </row>
    <row r="154" spans="2:37">
      <c r="B154" s="109" t="s">
        <v>40</v>
      </c>
      <c r="D154" s="110"/>
      <c r="E154" s="110"/>
      <c r="F154" s="110" t="str">
        <f>IF(SUM(J154:AK154)&gt;0,SUM(J154:AK154)/F19,"")</f>
        <v/>
      </c>
      <c r="G154" s="110"/>
      <c r="H154" s="110"/>
      <c r="I154" s="110"/>
      <c r="J154" s="110">
        <f t="shared" ref="J154:AA154" si="19">IF(AND(ISNUMBER(J19),ISNUMBER(J32)),J19*10^(57-LOG(J32*1.8+492)/0.05),"")</f>
        <v>0</v>
      </c>
      <c r="K154" s="110">
        <f t="shared" si="19"/>
        <v>0</v>
      </c>
      <c r="L154" s="110">
        <f t="shared" si="19"/>
        <v>0</v>
      </c>
      <c r="M154" s="110">
        <f t="shared" si="19"/>
        <v>0</v>
      </c>
      <c r="N154" s="110">
        <f t="shared" si="19"/>
        <v>0</v>
      </c>
      <c r="O154" s="110">
        <f t="shared" si="19"/>
        <v>0</v>
      </c>
      <c r="P154" s="110">
        <f t="shared" si="19"/>
        <v>0</v>
      </c>
      <c r="Q154" s="110">
        <f t="shared" si="19"/>
        <v>0</v>
      </c>
      <c r="R154" s="110">
        <f t="shared" si="19"/>
        <v>0</v>
      </c>
      <c r="S154" s="110">
        <f t="shared" si="19"/>
        <v>0</v>
      </c>
      <c r="T154" s="110">
        <f t="shared" si="19"/>
        <v>0</v>
      </c>
      <c r="U154" s="110">
        <f t="shared" si="19"/>
        <v>0</v>
      </c>
      <c r="V154" s="110">
        <f t="shared" si="19"/>
        <v>0</v>
      </c>
      <c r="W154" s="110">
        <f t="shared" si="19"/>
        <v>0</v>
      </c>
      <c r="X154" s="110">
        <f t="shared" si="19"/>
        <v>0</v>
      </c>
      <c r="Y154" s="110">
        <f t="shared" si="19"/>
        <v>0</v>
      </c>
      <c r="Z154" s="110">
        <f t="shared" si="19"/>
        <v>0</v>
      </c>
      <c r="AA154" s="110">
        <f t="shared" si="19"/>
        <v>0</v>
      </c>
      <c r="AB154" s="110">
        <f>IF(AND(ISNUMBER(AE19),ISNUMBER(AE32)),AE19*10^(57-LOG(AE32*1.8+492)/0.05),"")</f>
        <v>0</v>
      </c>
      <c r="AC154" s="110">
        <f>IF(AND(ISNUMBER(AB19),ISNUMBER(AB32)),AB19*10^(57-LOG(AB32*1.8+492)/0.05),"")</f>
        <v>0</v>
      </c>
      <c r="AD154" s="110">
        <f>IF(AND(ISNUMBER(AC19),ISNUMBER(AC32)),AC19*10^(57-LOG(AC32*1.8+492)/0.05),"")</f>
        <v>0</v>
      </c>
      <c r="AE154" s="110">
        <f>IF(AND(ISNUMBER(AF19),ISNUMBER(AF32)),AF19*10^(57-LOG(AF32*1.8+492)/0.05),"")</f>
        <v>0</v>
      </c>
      <c r="AF154" s="110">
        <f>IF(AND(ISNUMBER(AD19),ISNUMBER(AD32)),AD19*10^(57-LOG(AD32*1.8+492)/0.05),"")</f>
        <v>0</v>
      </c>
      <c r="AG154" s="110">
        <f>IF(AND(ISNUMBER(AG19),ISNUMBER(AG32)),AG19*10^(57-LOG(AG32*1.8+492)/0.05),"")</f>
        <v>0</v>
      </c>
      <c r="AH154" s="110">
        <f>IF(AND(ISNUMBER(AH19),ISNUMBER(AH32)),AH19*10^(57-LOG(AH32*1.8+492)/0.05),"")</f>
        <v>0</v>
      </c>
      <c r="AI154" s="110">
        <f>IF(AND(ISNUMBER(AI19),ISNUMBER(AI32)),AI19*10^(57-LOG(AI32*1.8+492)/0.05),"")</f>
        <v>0</v>
      </c>
      <c r="AJ154" s="110">
        <f>IF(AND(ISNUMBER(AJ19),ISNUMBER(AJ32)),AJ19*10^(57-LOG(AJ32*1.8+492)/0.05),"")</f>
        <v>0</v>
      </c>
      <c r="AK154" s="110">
        <f>IF(AND(ISNUMBER(AK19),ISNUMBER(AK32)),AK19*10^(57-LOG(AK32*1.8+492)/0.05),"")</f>
        <v>0</v>
      </c>
    </row>
    <row r="155" spans="2:37" s="118" customFormat="1">
      <c r="B155" s="114" t="s">
        <v>43</v>
      </c>
      <c r="C155" s="115"/>
      <c r="D155" s="116"/>
      <c r="E155" s="116"/>
      <c r="F155" s="116" t="str">
        <f>IF(SUM(J155:AK155)&gt;0,SUM(J155:AK155)/F19,"")</f>
        <v/>
      </c>
      <c r="G155" s="116"/>
      <c r="H155" s="116"/>
      <c r="I155" s="116"/>
      <c r="J155" s="116">
        <f t="shared" ref="J155:AA155" si="20">IF(AND(ISNUMBER(J19),ISNUMBER(J33)),J19*10^(7-(1350/(J33+273))),"")</f>
        <v>0</v>
      </c>
      <c r="K155" s="116">
        <f t="shared" si="20"/>
        <v>0</v>
      </c>
      <c r="L155" s="116">
        <f t="shared" si="20"/>
        <v>0</v>
      </c>
      <c r="M155" s="117">
        <f t="shared" si="20"/>
        <v>0</v>
      </c>
      <c r="N155" s="117">
        <f t="shared" si="20"/>
        <v>0</v>
      </c>
      <c r="O155" s="117">
        <f t="shared" si="20"/>
        <v>0</v>
      </c>
      <c r="P155" s="117">
        <f t="shared" si="20"/>
        <v>0</v>
      </c>
      <c r="Q155" s="117">
        <f t="shared" si="20"/>
        <v>0</v>
      </c>
      <c r="R155" s="117">
        <f t="shared" si="20"/>
        <v>0</v>
      </c>
      <c r="S155" s="117">
        <f t="shared" si="20"/>
        <v>0</v>
      </c>
      <c r="T155" s="117">
        <f t="shared" si="20"/>
        <v>0</v>
      </c>
      <c r="U155" s="117">
        <f t="shared" si="20"/>
        <v>0</v>
      </c>
      <c r="V155" s="117">
        <f t="shared" si="20"/>
        <v>0</v>
      </c>
      <c r="W155" s="117">
        <f t="shared" si="20"/>
        <v>0</v>
      </c>
      <c r="X155" s="117">
        <f t="shared" si="20"/>
        <v>0</v>
      </c>
      <c r="Y155" s="117">
        <f t="shared" si="20"/>
        <v>0</v>
      </c>
      <c r="Z155" s="117">
        <f t="shared" si="20"/>
        <v>0</v>
      </c>
      <c r="AA155" s="117">
        <f t="shared" si="20"/>
        <v>0</v>
      </c>
      <c r="AB155" s="117">
        <f>IF(AND(ISNUMBER(AE19),ISNUMBER(AE33)),AE19*10^(7-(1350/(AE33+273))),"")</f>
        <v>0</v>
      </c>
      <c r="AC155" s="117">
        <f>IF(AND(ISNUMBER(AB19),ISNUMBER(AB33)),AB19*10^(7-(1350/(AB33+273))),"")</f>
        <v>0</v>
      </c>
      <c r="AD155" s="117">
        <f>IF(AND(ISNUMBER(AC19),ISNUMBER(AC33)),AC19*10^(7-(1350/(AC33+273))),"")</f>
        <v>0</v>
      </c>
      <c r="AE155" s="117">
        <f>IF(AND(ISNUMBER(AF19),ISNUMBER(AF33)),AF19*10^(7-(1350/(AF33+273))),"")</f>
        <v>0</v>
      </c>
      <c r="AF155" s="117">
        <f>IF(AND(ISNUMBER(AD19),ISNUMBER(AD33)),AD19*10^(7-(1350/(AD33+273))),"")</f>
        <v>0</v>
      </c>
      <c r="AG155" s="117">
        <f>IF(AND(ISNUMBER(AG19),ISNUMBER(AG33)),AG19*10^(7-(1350/(AG33+273))),"")</f>
        <v>0</v>
      </c>
      <c r="AH155" s="117">
        <f>IF(AND(ISNUMBER(AH19),ISNUMBER(AH33)),AH19*10^(7-(1350/(AH33+273))),"")</f>
        <v>0</v>
      </c>
      <c r="AI155" s="117">
        <f>IF(AND(ISNUMBER(AI19),ISNUMBER(AI33)),AI19*10^(7-(1350/(AI33+273))),"")</f>
        <v>0</v>
      </c>
      <c r="AJ155" s="117">
        <f>IF(AND(ISNUMBER(AJ19),ISNUMBER(AJ33)),AJ19*10^(7-(1350/(AJ33+273))),"")</f>
        <v>0</v>
      </c>
      <c r="AK155" s="117">
        <f>IF(AND(ISNUMBER(AK19),ISNUMBER(AK33)),AK19*10^(7-(1350/(AK33+273))),"")</f>
        <v>0</v>
      </c>
    </row>
    <row r="156" spans="2:37">
      <c r="B156" s="109" t="s">
        <v>45</v>
      </c>
      <c r="D156" s="110"/>
      <c r="E156" s="110"/>
      <c r="F156" s="110" t="str">
        <f>IF(SUM(H156:AK156)&gt;0,SUM(H156:AK156)/F19,"")</f>
        <v/>
      </c>
      <c r="G156" s="110"/>
      <c r="H156" s="110"/>
      <c r="I156" s="110"/>
      <c r="J156" s="110" t="str">
        <f t="shared" ref="J156:AA156" si="21">IF(AND(ISNUMBER(J19),ISNUMBER(J34),ISNUMBER(J35)),J34*J19*J35,"")</f>
        <v/>
      </c>
      <c r="K156" s="110" t="str">
        <f t="shared" si="21"/>
        <v/>
      </c>
      <c r="L156" s="110" t="str">
        <f t="shared" si="21"/>
        <v/>
      </c>
      <c r="M156" s="110" t="str">
        <f t="shared" si="21"/>
        <v/>
      </c>
      <c r="N156" s="110">
        <f t="shared" si="21"/>
        <v>0</v>
      </c>
      <c r="O156" s="110" t="str">
        <f t="shared" si="21"/>
        <v/>
      </c>
      <c r="P156" s="110">
        <f t="shared" si="21"/>
        <v>0</v>
      </c>
      <c r="Q156" s="110">
        <f t="shared" si="21"/>
        <v>0</v>
      </c>
      <c r="R156" s="110">
        <f t="shared" si="21"/>
        <v>0</v>
      </c>
      <c r="S156" s="110">
        <f t="shared" si="21"/>
        <v>0</v>
      </c>
      <c r="T156" s="110">
        <f t="shared" si="21"/>
        <v>0</v>
      </c>
      <c r="U156" s="110">
        <f t="shared" si="21"/>
        <v>0</v>
      </c>
      <c r="V156" s="110">
        <f t="shared" si="21"/>
        <v>0</v>
      </c>
      <c r="W156" s="110">
        <f t="shared" si="21"/>
        <v>0</v>
      </c>
      <c r="X156" s="110">
        <f t="shared" si="21"/>
        <v>0</v>
      </c>
      <c r="Y156" s="110">
        <f t="shared" si="21"/>
        <v>0</v>
      </c>
      <c r="Z156" s="110">
        <f t="shared" si="21"/>
        <v>0</v>
      </c>
      <c r="AA156" s="110">
        <f t="shared" si="21"/>
        <v>0</v>
      </c>
      <c r="AB156" s="110">
        <f>IF(AND(ISNUMBER(AE19),ISNUMBER(AE34),ISNUMBER(AE35)),AE34*AE19*AE35,"")</f>
        <v>0</v>
      </c>
      <c r="AC156" s="110">
        <f>IF(AND(ISNUMBER(AB19),ISNUMBER(AB34),ISNUMBER(AB35)),AB34*AB19*AB35,"")</f>
        <v>0</v>
      </c>
      <c r="AD156" s="110">
        <f>IF(AND(ISNUMBER(AC19),ISNUMBER(AC34),ISNUMBER(AC35)),AC34*AC19*AC35,"")</f>
        <v>0</v>
      </c>
      <c r="AE156" s="110">
        <f>IF(AND(ISNUMBER(AF19),ISNUMBER(AF34),ISNUMBER(AF35)),AF34*AF19*AF35,"")</f>
        <v>0</v>
      </c>
      <c r="AF156" s="110">
        <f>IF(AND(ISNUMBER(AD19),ISNUMBER(AD34),ISNUMBER(AD35)),AD34*AD19*AD35,"")</f>
        <v>0</v>
      </c>
      <c r="AG156" s="110">
        <f>IF(AND(ISNUMBER(AG19),ISNUMBER(AG34),ISNUMBER(AG35)),AG34*AG19*AG35,"")</f>
        <v>0</v>
      </c>
      <c r="AH156" s="110">
        <f>IF(AND(ISNUMBER(AH19),ISNUMBER(AH34),ISNUMBER(AH35)),AH34*AH19*AH35,"")</f>
        <v>0</v>
      </c>
      <c r="AI156" s="110">
        <f>IF(AND(ISNUMBER(AI19),ISNUMBER(AI34),ISNUMBER(AI35)),AI34*AI19*AI35,"")</f>
        <v>0</v>
      </c>
      <c r="AJ156" s="110">
        <f>IF(AND(ISNUMBER(AJ19),ISNUMBER(AJ34),ISNUMBER(AJ35)),AJ34*AJ19*AJ35,"")</f>
        <v>0</v>
      </c>
      <c r="AK156" s="110">
        <f>IF(AND(ISNUMBER(AK19),ISNUMBER(AK34),ISNUMBER(AK35)),AK34*AK19*AK35,"")</f>
        <v>0</v>
      </c>
    </row>
    <row r="157" spans="2:37">
      <c r="B157" s="109" t="s">
        <v>49</v>
      </c>
      <c r="D157" s="110"/>
      <c r="E157" s="110"/>
      <c r="F157" s="110" t="str">
        <f>IF(SUM(H157:AK157)&gt;0,SUM(H157:AK157)/F19,"")</f>
        <v/>
      </c>
      <c r="G157" s="110"/>
      <c r="H157" s="110"/>
      <c r="I157" s="110"/>
      <c r="J157" s="110" t="str">
        <f t="shared" ref="J157:AA157" si="22">IF(AND(ISNUMBER(J19),ISNUMBER(J35)),J19*J35,"")</f>
        <v/>
      </c>
      <c r="K157" s="110" t="str">
        <f t="shared" si="22"/>
        <v/>
      </c>
      <c r="L157" s="110" t="str">
        <f t="shared" si="22"/>
        <v/>
      </c>
      <c r="M157" s="110" t="str">
        <f t="shared" si="22"/>
        <v/>
      </c>
      <c r="N157" s="110">
        <f t="shared" si="22"/>
        <v>0</v>
      </c>
      <c r="O157" s="110" t="str">
        <f t="shared" si="22"/>
        <v/>
      </c>
      <c r="P157" s="110">
        <f t="shared" si="22"/>
        <v>0</v>
      </c>
      <c r="Q157" s="110">
        <f t="shared" si="22"/>
        <v>0</v>
      </c>
      <c r="R157" s="110">
        <f t="shared" si="22"/>
        <v>0</v>
      </c>
      <c r="S157" s="110">
        <f t="shared" si="22"/>
        <v>0</v>
      </c>
      <c r="T157" s="110">
        <f t="shared" si="22"/>
        <v>0</v>
      </c>
      <c r="U157" s="110">
        <f t="shared" si="22"/>
        <v>0</v>
      </c>
      <c r="V157" s="110">
        <f t="shared" si="22"/>
        <v>0</v>
      </c>
      <c r="W157" s="110">
        <f t="shared" si="22"/>
        <v>0</v>
      </c>
      <c r="X157" s="110">
        <f t="shared" si="22"/>
        <v>0</v>
      </c>
      <c r="Y157" s="110">
        <f t="shared" si="22"/>
        <v>0</v>
      </c>
      <c r="Z157" s="110">
        <f t="shared" si="22"/>
        <v>0</v>
      </c>
      <c r="AA157" s="110">
        <f t="shared" si="22"/>
        <v>0</v>
      </c>
      <c r="AB157" s="110">
        <f>IF(AND(ISNUMBER(AE19),ISNUMBER(AE35)),AE19*AE35,"")</f>
        <v>0</v>
      </c>
      <c r="AC157" s="110">
        <f>IF(AND(ISNUMBER(AB19),ISNUMBER(AB35)),AB19*AB35,"")</f>
        <v>0</v>
      </c>
      <c r="AD157" s="110">
        <f>IF(AND(ISNUMBER(AC19),ISNUMBER(AC35)),AC19*AC35,"")</f>
        <v>0</v>
      </c>
      <c r="AE157" s="110">
        <f>IF(AND(ISNUMBER(AF19),ISNUMBER(AF35)),AF19*AF35,"")</f>
        <v>0</v>
      </c>
      <c r="AF157" s="110">
        <f>IF(AND(ISNUMBER(AD19),ISNUMBER(AD35)),AD19*AD35,"")</f>
        <v>0</v>
      </c>
      <c r="AG157" s="110">
        <f>IF(AND(ISNUMBER(AG19),ISNUMBER(AG35)),AG19*AG35,"")</f>
        <v>0</v>
      </c>
      <c r="AH157" s="110">
        <f>IF(AND(ISNUMBER(AH19),ISNUMBER(AH35)),AH19*AH35,"")</f>
        <v>0</v>
      </c>
      <c r="AI157" s="110">
        <f>IF(AND(ISNUMBER(AI19),ISNUMBER(AI35)),AI19*AI35,"")</f>
        <v>0</v>
      </c>
      <c r="AJ157" s="110">
        <f>IF(AND(ISNUMBER(AJ19),ISNUMBER(AJ35)),AJ19*AJ35,"")</f>
        <v>0</v>
      </c>
      <c r="AK157" s="110">
        <f>IF(AND(ISNUMBER(AK19),ISNUMBER(AK35)),AK19*AK35,"")</f>
        <v>0</v>
      </c>
    </row>
    <row r="158" spans="2:37">
      <c r="B158" s="109" t="s">
        <v>51</v>
      </c>
      <c r="D158" s="110"/>
      <c r="E158" s="110"/>
      <c r="F158" s="110" t="e">
        <f t="shared" ref="F158:F178" si="23">IF(SUM(J158:AK158)&gt;0,SUM(J158:AK158),"")</f>
        <v>#DIV/0!</v>
      </c>
      <c r="G158" s="110"/>
      <c r="H158" s="110"/>
      <c r="I158" s="110"/>
      <c r="J158" s="110" t="str">
        <f t="shared" ref="J158:AA158" si="24">IF(AND(ISNUMBER(J19),ISNUMBER(J38)),J$24*LOG10(LOG10((1000/J36)+-8.8)),"")</f>
        <v/>
      </c>
      <c r="K158" s="110" t="str">
        <f t="shared" si="24"/>
        <v/>
      </c>
      <c r="L158" s="110" t="str">
        <f t="shared" si="24"/>
        <v/>
      </c>
      <c r="M158" s="110" t="str">
        <f t="shared" si="24"/>
        <v/>
      </c>
      <c r="N158" s="110" t="e">
        <f t="shared" si="24"/>
        <v>#DIV/0!</v>
      </c>
      <c r="O158" s="110" t="str">
        <f t="shared" si="24"/>
        <v/>
      </c>
      <c r="P158" s="110" t="e">
        <f t="shared" si="24"/>
        <v>#DIV/0!</v>
      </c>
      <c r="Q158" s="110" t="e">
        <f t="shared" si="24"/>
        <v>#DIV/0!</v>
      </c>
      <c r="R158" s="110" t="e">
        <f t="shared" si="24"/>
        <v>#DIV/0!</v>
      </c>
      <c r="S158" s="110">
        <f t="shared" si="24"/>
        <v>0</v>
      </c>
      <c r="T158" s="110">
        <f t="shared" si="24"/>
        <v>0</v>
      </c>
      <c r="U158" s="110">
        <f t="shared" si="24"/>
        <v>0</v>
      </c>
      <c r="V158" s="110">
        <f t="shared" si="24"/>
        <v>0</v>
      </c>
      <c r="W158" s="110">
        <f t="shared" si="24"/>
        <v>0</v>
      </c>
      <c r="X158" s="110">
        <f t="shared" si="24"/>
        <v>0</v>
      </c>
      <c r="Y158" s="110">
        <f t="shared" si="24"/>
        <v>0</v>
      </c>
      <c r="Z158" s="110">
        <f t="shared" si="24"/>
        <v>0</v>
      </c>
      <c r="AA158" s="110">
        <f t="shared" si="24"/>
        <v>0</v>
      </c>
      <c r="AB158" s="110">
        <f>IF(AND(ISNUMBER(AE19),ISNUMBER(AE38)),AE$24*LOG10(LOG10((1000/AE36)+-8.8)),"")</f>
        <v>0</v>
      </c>
      <c r="AC158" s="110">
        <f>IF(AND(ISNUMBER(AB19),ISNUMBER(AB38)),AB$24*LOG10(LOG10((1000/AB36)+-8.8)),"")</f>
        <v>0</v>
      </c>
      <c r="AD158" s="110">
        <f>IF(AND(ISNUMBER(AC19),ISNUMBER(AC38)),AC$24*LOG10(LOG10((1000/AC36)+-8.8)),"")</f>
        <v>0</v>
      </c>
      <c r="AE158" s="110">
        <f>IF(AND(ISNUMBER(AF19),ISNUMBER(AF38)),AF$24*LOG10(LOG10((1000/AF36)+-8.8)),"")</f>
        <v>0</v>
      </c>
      <c r="AF158" s="110">
        <f>IF(AND(ISNUMBER(AD19),ISNUMBER(AD38)),AD$24*LOG10(LOG10((1000/AD36)+-8.8)),"")</f>
        <v>0</v>
      </c>
      <c r="AG158" s="110">
        <f>IF(AND(ISNUMBER(AG19),ISNUMBER(AG38)),AG$24*LOG10(LOG10((1000/AG36)+-8.8)),"")</f>
        <v>0</v>
      </c>
      <c r="AH158" s="110">
        <f>IF(AND(ISNUMBER(AH19),ISNUMBER(AH38)),AH$24*LOG10(LOG10((1000/AH36)+-8.8)),"")</f>
        <v>0</v>
      </c>
      <c r="AI158" s="110">
        <f>IF(AND(ISNUMBER(AI19),ISNUMBER(AI38)),AI$24*LOG10(LOG10((1000/AI36)+-8.8)),"")</f>
        <v>0</v>
      </c>
      <c r="AJ158" s="110">
        <f>IF(AND(ISNUMBER(AJ19),ISNUMBER(AJ38)),AJ$24*LOG10(LOG10((1000/AJ36)+-8.8)),"")</f>
        <v>0</v>
      </c>
      <c r="AK158" s="110">
        <f>IF(AND(ISNUMBER(AK19),ISNUMBER(AK38)),AK$24*LOG10(LOG10((1000/AK36)+-8.8)),"")</f>
        <v>0</v>
      </c>
    </row>
    <row r="159" spans="2:37">
      <c r="B159" s="109" t="s">
        <v>53</v>
      </c>
      <c r="D159" s="110"/>
      <c r="E159" s="110"/>
      <c r="F159" s="110" t="e">
        <f t="shared" si="23"/>
        <v>#DIV/0!</v>
      </c>
      <c r="G159" s="110"/>
      <c r="H159" s="110"/>
      <c r="I159" s="110"/>
      <c r="J159" s="110" t="str">
        <f t="shared" ref="J159:AA159" si="25">IF(AND(ISNUMBER(J19),ISNUMBER(J38),ISNUMBER(J37)),J$24*LOG10(LOG10((1000/J37)+-8.8)),"")</f>
        <v/>
      </c>
      <c r="K159" s="110" t="str">
        <f t="shared" si="25"/>
        <v/>
      </c>
      <c r="L159" s="110" t="str">
        <f t="shared" si="25"/>
        <v/>
      </c>
      <c r="M159" s="110" t="str">
        <f t="shared" si="25"/>
        <v/>
      </c>
      <c r="N159" s="110" t="e">
        <f t="shared" si="25"/>
        <v>#DIV/0!</v>
      </c>
      <c r="O159" s="110" t="str">
        <f t="shared" si="25"/>
        <v/>
      </c>
      <c r="P159" s="110" t="e">
        <f t="shared" si="25"/>
        <v>#DIV/0!</v>
      </c>
      <c r="Q159" s="110" t="e">
        <f t="shared" si="25"/>
        <v>#DIV/0!</v>
      </c>
      <c r="R159" s="110" t="e">
        <f t="shared" si="25"/>
        <v>#DIV/0!</v>
      </c>
      <c r="S159" s="110">
        <f t="shared" si="25"/>
        <v>0</v>
      </c>
      <c r="T159" s="110">
        <f t="shared" si="25"/>
        <v>0</v>
      </c>
      <c r="U159" s="110">
        <f t="shared" si="25"/>
        <v>0</v>
      </c>
      <c r="V159" s="110">
        <f t="shared" si="25"/>
        <v>0</v>
      </c>
      <c r="W159" s="110">
        <f t="shared" si="25"/>
        <v>0</v>
      </c>
      <c r="X159" s="110">
        <f t="shared" si="25"/>
        <v>0</v>
      </c>
      <c r="Y159" s="110">
        <f t="shared" si="25"/>
        <v>0</v>
      </c>
      <c r="Z159" s="110">
        <f t="shared" si="25"/>
        <v>0</v>
      </c>
      <c r="AA159" s="110">
        <f t="shared" si="25"/>
        <v>0</v>
      </c>
      <c r="AB159" s="110">
        <f>IF(AND(ISNUMBER(AE19),ISNUMBER(AE38),ISNUMBER(AE37)),AE$24*LOG10(LOG10((1000/AE37)+-8.8)),"")</f>
        <v>0</v>
      </c>
      <c r="AC159" s="110">
        <f>IF(AND(ISNUMBER(AB19),ISNUMBER(AB38),ISNUMBER(AB37)),AB$24*LOG10(LOG10((1000/AB37)+-8.8)),"")</f>
        <v>0</v>
      </c>
      <c r="AD159" s="110">
        <f>IF(AND(ISNUMBER(AC19),ISNUMBER(AC38),ISNUMBER(AC37)),AC$24*LOG10(LOG10((1000/AC37)+-8.8)),"")</f>
        <v>0</v>
      </c>
      <c r="AE159" s="110">
        <f>IF(AND(ISNUMBER(AF19),ISNUMBER(AF38),ISNUMBER(AF37)),AF$24*LOG10(LOG10((1000/AF37)+-8.8)),"")</f>
        <v>0</v>
      </c>
      <c r="AF159" s="110">
        <f>IF(AND(ISNUMBER(AD19),ISNUMBER(AD38),ISNUMBER(AD37)),AD$24*LOG10(LOG10((1000/AD37)+-8.8)),"")</f>
        <v>0</v>
      </c>
      <c r="AG159" s="110">
        <f>IF(AND(ISNUMBER(AG19),ISNUMBER(AG38),ISNUMBER(AG37)),AG$24*LOG10(LOG10((1000/AG37)+-8.8)),"")</f>
        <v>0</v>
      </c>
      <c r="AH159" s="110">
        <f>IF(AND(ISNUMBER(AH19),ISNUMBER(AH38),ISNUMBER(AH37)),AH$24*LOG10(LOG10((1000/AH37)+-8.8)),"")</f>
        <v>0</v>
      </c>
      <c r="AI159" s="110">
        <f>IF(AND(ISNUMBER(AI19),ISNUMBER(AI38),ISNUMBER(AI37)),AI$24*LOG10(LOG10((1000/AI37)+-8.8)),"")</f>
        <v>0</v>
      </c>
      <c r="AJ159" s="110">
        <f>IF(AND(ISNUMBER(AJ19),ISNUMBER(AJ38),ISNUMBER(AJ37)),AJ$24*LOG10(LOG10((1000/AJ37)+-8.8)),"")</f>
        <v>0</v>
      </c>
      <c r="AK159" s="110">
        <f>IF(AND(ISNUMBER(AK19),ISNUMBER(AK38),ISNUMBER(AK37)),AK$24*LOG10(LOG10((1000/AK37)+-8.8)),"")</f>
        <v>0</v>
      </c>
    </row>
    <row r="160" spans="2:37">
      <c r="B160" s="109" t="s">
        <v>55</v>
      </c>
      <c r="D160" s="110"/>
      <c r="E160" s="110"/>
      <c r="F160" s="110" t="e">
        <f t="shared" si="23"/>
        <v>#NUM!</v>
      </c>
      <c r="G160" s="110"/>
      <c r="H160" s="110"/>
      <c r="I160" s="110"/>
      <c r="J160" s="110" t="str">
        <f t="shared" ref="J160:AA160" si="26">IF(AND(ISNUMBER(J19),ISNUMBER(J38)),J24*LOG10(LOG10(20*J38+-8.8)),"")</f>
        <v/>
      </c>
      <c r="K160" s="110" t="str">
        <f t="shared" si="26"/>
        <v/>
      </c>
      <c r="L160" s="110" t="str">
        <f t="shared" si="26"/>
        <v/>
      </c>
      <c r="M160" s="110" t="str">
        <f t="shared" si="26"/>
        <v/>
      </c>
      <c r="N160" s="110" t="e">
        <f t="shared" si="26"/>
        <v>#NUM!</v>
      </c>
      <c r="O160" s="110" t="str">
        <f t="shared" si="26"/>
        <v/>
      </c>
      <c r="P160" s="110" t="e">
        <f t="shared" si="26"/>
        <v>#NUM!</v>
      </c>
      <c r="Q160" s="110" t="e">
        <f t="shared" si="26"/>
        <v>#NUM!</v>
      </c>
      <c r="R160" s="110" t="e">
        <f t="shared" si="26"/>
        <v>#NUM!</v>
      </c>
      <c r="S160" s="110">
        <f t="shared" si="26"/>
        <v>0</v>
      </c>
      <c r="T160" s="110">
        <f t="shared" si="26"/>
        <v>0</v>
      </c>
      <c r="U160" s="110">
        <f t="shared" si="26"/>
        <v>0</v>
      </c>
      <c r="V160" s="110">
        <f t="shared" si="26"/>
        <v>0</v>
      </c>
      <c r="W160" s="110">
        <f t="shared" si="26"/>
        <v>0</v>
      </c>
      <c r="X160" s="110">
        <f t="shared" si="26"/>
        <v>0</v>
      </c>
      <c r="Y160" s="110">
        <f t="shared" si="26"/>
        <v>0</v>
      </c>
      <c r="Z160" s="110">
        <f t="shared" si="26"/>
        <v>0</v>
      </c>
      <c r="AA160" s="110">
        <f t="shared" si="26"/>
        <v>0</v>
      </c>
      <c r="AB160" s="110">
        <f>IF(AND(ISNUMBER(AE19),ISNUMBER(AE38)),AE24*LOG10(LOG10(20*AE38+-8.8)),"")</f>
        <v>0</v>
      </c>
      <c r="AC160" s="110">
        <f>IF(AND(ISNUMBER(AB19),ISNUMBER(AB38)),AB24*LOG10(LOG10(20*AB38+-8.8)),"")</f>
        <v>0</v>
      </c>
      <c r="AD160" s="110">
        <f>IF(AND(ISNUMBER(AC19),ISNUMBER(AC38)),AC24*LOG10(LOG10(20*AC38+-8.8)),"")</f>
        <v>0</v>
      </c>
      <c r="AE160" s="110">
        <f>IF(AND(ISNUMBER(AF19),ISNUMBER(AF38)),AF24*LOG10(LOG10(20*AF38+-8.8)),"")</f>
        <v>0</v>
      </c>
      <c r="AF160" s="110">
        <f>IF(AND(ISNUMBER(AD19),ISNUMBER(AD38)),AD24*LOG10(LOG10(20*AD38+-8.8)),"")</f>
        <v>0</v>
      </c>
      <c r="AG160" s="110">
        <f>IF(AND(ISNUMBER(AG19),ISNUMBER(AG38)),AG24*LOG10(LOG10(20*AG38+-8.8)),"")</f>
        <v>0</v>
      </c>
      <c r="AH160" s="110">
        <f>IF(AND(ISNUMBER(AH19),ISNUMBER(AH38)),AH24*LOG10(LOG10(20*AH38+-8.8)),"")</f>
        <v>0</v>
      </c>
      <c r="AI160" s="110">
        <f>IF(AND(ISNUMBER(AI19),ISNUMBER(AI38)),AI24*LOG10(LOG10(20*AI38+-8.8)),"")</f>
        <v>0</v>
      </c>
      <c r="AJ160" s="110">
        <f>IF(AND(ISNUMBER(AJ19),ISNUMBER(AJ38)),AJ24*LOG10(LOG10(20*AJ38+-8.8)),"")</f>
        <v>0</v>
      </c>
      <c r="AK160" s="110">
        <f>IF(AND(ISNUMBER(AK19),ISNUMBER(AK38)),AK24*LOG10(LOG10(20*AK38+-8.8)),"")</f>
        <v>0</v>
      </c>
    </row>
    <row r="161" spans="2:37">
      <c r="B161" s="109" t="s">
        <v>57</v>
      </c>
      <c r="D161" s="110"/>
      <c r="E161" s="110"/>
      <c r="F161" s="110" t="str">
        <f t="shared" si="23"/>
        <v/>
      </c>
      <c r="G161" s="110"/>
      <c r="H161" s="110"/>
      <c r="I161" s="110"/>
      <c r="J161" s="110" t="str">
        <f t="shared" ref="J161:AA175" si="27">IF(ISNUMBER(J39),J39*J$24,"")</f>
        <v/>
      </c>
      <c r="K161" s="110" t="str">
        <f t="shared" si="27"/>
        <v/>
      </c>
      <c r="L161" s="110" t="str">
        <f t="shared" si="27"/>
        <v/>
      </c>
      <c r="M161" s="110" t="str">
        <f t="shared" si="27"/>
        <v/>
      </c>
      <c r="N161" s="110">
        <f t="shared" si="27"/>
        <v>0</v>
      </c>
      <c r="O161" s="110" t="str">
        <f t="shared" si="27"/>
        <v/>
      </c>
      <c r="P161" s="110">
        <f t="shared" si="27"/>
        <v>0</v>
      </c>
      <c r="Q161" s="110">
        <f t="shared" si="27"/>
        <v>0</v>
      </c>
      <c r="R161" s="110">
        <f t="shared" si="27"/>
        <v>0</v>
      </c>
      <c r="S161" s="110">
        <f t="shared" si="27"/>
        <v>0</v>
      </c>
      <c r="T161" s="110">
        <f t="shared" si="27"/>
        <v>0</v>
      </c>
      <c r="U161" s="110">
        <f t="shared" si="27"/>
        <v>0</v>
      </c>
      <c r="V161" s="110">
        <f t="shared" si="27"/>
        <v>0</v>
      </c>
      <c r="W161" s="110">
        <f t="shared" si="27"/>
        <v>0</v>
      </c>
      <c r="X161" s="110">
        <f t="shared" si="27"/>
        <v>0</v>
      </c>
      <c r="Y161" s="110">
        <f t="shared" si="27"/>
        <v>0</v>
      </c>
      <c r="Z161" s="110">
        <f t="shared" si="27"/>
        <v>0</v>
      </c>
      <c r="AA161" s="110">
        <f t="shared" si="27"/>
        <v>0</v>
      </c>
      <c r="AB161" s="110">
        <f t="shared" ref="AB161:AB178" si="28">IF(ISNUMBER(AE39),AE39*AE$24,"")</f>
        <v>0</v>
      </c>
      <c r="AC161" s="110">
        <f t="shared" ref="AC161:AD178" si="29">IF(ISNUMBER(AB39),AB39*AB$24,"")</f>
        <v>0</v>
      </c>
      <c r="AD161" s="110">
        <f t="shared" si="29"/>
        <v>0</v>
      </c>
      <c r="AE161" s="110">
        <f t="shared" ref="AE161:AE178" si="30">IF(ISNUMBER(AF39),AF39*AF$24,"")</f>
        <v>0</v>
      </c>
      <c r="AF161" s="110">
        <f t="shared" ref="AF161:AF178" si="31">IF(ISNUMBER(AD39),AD39*AD$24,"")</f>
        <v>0</v>
      </c>
      <c r="AG161" s="110">
        <f t="shared" ref="AG161:AK176" si="32">IF(ISNUMBER(AG39),AG39*AG$24,"")</f>
        <v>0</v>
      </c>
      <c r="AH161" s="110">
        <f t="shared" si="32"/>
        <v>0</v>
      </c>
      <c r="AI161" s="110">
        <f t="shared" si="32"/>
        <v>0</v>
      </c>
      <c r="AJ161" s="110">
        <f t="shared" si="32"/>
        <v>0</v>
      </c>
      <c r="AK161" s="110">
        <f t="shared" si="32"/>
        <v>0</v>
      </c>
    </row>
    <row r="162" spans="2:37">
      <c r="B162" s="109" t="s">
        <v>60</v>
      </c>
      <c r="D162" s="110"/>
      <c r="E162" s="110"/>
      <c r="F162" s="110" t="str">
        <f t="shared" si="23"/>
        <v/>
      </c>
      <c r="G162" s="110"/>
      <c r="H162" s="110"/>
      <c r="I162" s="110"/>
      <c r="J162" s="110" t="str">
        <f t="shared" si="27"/>
        <v/>
      </c>
      <c r="K162" s="110" t="str">
        <f t="shared" si="27"/>
        <v/>
      </c>
      <c r="L162" s="110" t="str">
        <f t="shared" si="27"/>
        <v/>
      </c>
      <c r="M162" s="110" t="str">
        <f t="shared" si="27"/>
        <v/>
      </c>
      <c r="N162" s="110">
        <f t="shared" si="27"/>
        <v>0</v>
      </c>
      <c r="O162" s="110" t="str">
        <f t="shared" si="27"/>
        <v/>
      </c>
      <c r="P162" s="110">
        <f t="shared" si="27"/>
        <v>0</v>
      </c>
      <c r="Q162" s="110">
        <f t="shared" si="27"/>
        <v>0</v>
      </c>
      <c r="R162" s="110">
        <f t="shared" si="27"/>
        <v>0</v>
      </c>
      <c r="S162" s="110">
        <f t="shared" si="27"/>
        <v>0</v>
      </c>
      <c r="T162" s="110">
        <f t="shared" si="27"/>
        <v>0</v>
      </c>
      <c r="U162" s="110">
        <f t="shared" si="27"/>
        <v>0</v>
      </c>
      <c r="V162" s="110">
        <f t="shared" si="27"/>
        <v>0</v>
      </c>
      <c r="W162" s="110">
        <f t="shared" si="27"/>
        <v>0</v>
      </c>
      <c r="X162" s="110">
        <f t="shared" si="27"/>
        <v>0</v>
      </c>
      <c r="Y162" s="110">
        <f t="shared" si="27"/>
        <v>0</v>
      </c>
      <c r="Z162" s="110">
        <f t="shared" si="27"/>
        <v>0</v>
      </c>
      <c r="AA162" s="110">
        <f t="shared" si="27"/>
        <v>0</v>
      </c>
      <c r="AB162" s="110">
        <f t="shared" si="28"/>
        <v>0</v>
      </c>
      <c r="AC162" s="110">
        <f t="shared" si="29"/>
        <v>0</v>
      </c>
      <c r="AD162" s="110">
        <f t="shared" si="29"/>
        <v>0</v>
      </c>
      <c r="AE162" s="110">
        <f t="shared" si="30"/>
        <v>0</v>
      </c>
      <c r="AF162" s="110">
        <f t="shared" si="31"/>
        <v>0</v>
      </c>
      <c r="AG162" s="110">
        <f t="shared" si="32"/>
        <v>0</v>
      </c>
      <c r="AH162" s="110">
        <f t="shared" si="32"/>
        <v>0</v>
      </c>
      <c r="AI162" s="110">
        <f t="shared" si="32"/>
        <v>0</v>
      </c>
      <c r="AJ162" s="110">
        <f t="shared" si="32"/>
        <v>0</v>
      </c>
      <c r="AK162" s="110">
        <f t="shared" si="32"/>
        <v>0</v>
      </c>
    </row>
    <row r="163" spans="2:37">
      <c r="B163" s="109" t="s">
        <v>61</v>
      </c>
      <c r="D163" s="110" t="s">
        <v>59</v>
      </c>
      <c r="E163" s="110"/>
      <c r="F163" s="110" t="str">
        <f t="shared" si="23"/>
        <v/>
      </c>
      <c r="G163" s="110"/>
      <c r="H163" s="110"/>
      <c r="I163" s="110"/>
      <c r="J163" s="110">
        <f t="shared" si="27"/>
        <v>0</v>
      </c>
      <c r="K163" s="110">
        <f t="shared" si="27"/>
        <v>0</v>
      </c>
      <c r="L163" s="110">
        <f t="shared" si="27"/>
        <v>0</v>
      </c>
      <c r="M163" s="110">
        <f t="shared" si="27"/>
        <v>0</v>
      </c>
      <c r="N163" s="110">
        <f t="shared" si="27"/>
        <v>0</v>
      </c>
      <c r="O163" s="110">
        <f t="shared" si="27"/>
        <v>0</v>
      </c>
      <c r="P163" s="110">
        <f t="shared" si="27"/>
        <v>0</v>
      </c>
      <c r="Q163" s="110">
        <f t="shared" si="27"/>
        <v>0</v>
      </c>
      <c r="R163" s="110">
        <f t="shared" si="27"/>
        <v>0</v>
      </c>
      <c r="S163" s="110">
        <f t="shared" si="27"/>
        <v>0</v>
      </c>
      <c r="T163" s="110">
        <f t="shared" si="27"/>
        <v>0</v>
      </c>
      <c r="U163" s="110">
        <f t="shared" si="27"/>
        <v>0</v>
      </c>
      <c r="V163" s="110">
        <f t="shared" si="27"/>
        <v>0</v>
      </c>
      <c r="W163" s="110">
        <f t="shared" si="27"/>
        <v>0</v>
      </c>
      <c r="X163" s="110">
        <f t="shared" si="27"/>
        <v>0</v>
      </c>
      <c r="Y163" s="110">
        <f t="shared" si="27"/>
        <v>0</v>
      </c>
      <c r="Z163" s="110">
        <f t="shared" si="27"/>
        <v>0</v>
      </c>
      <c r="AA163" s="110">
        <f t="shared" si="27"/>
        <v>0</v>
      </c>
      <c r="AB163" s="110">
        <f t="shared" si="28"/>
        <v>0</v>
      </c>
      <c r="AC163" s="110">
        <f t="shared" si="29"/>
        <v>0</v>
      </c>
      <c r="AD163" s="110">
        <f t="shared" si="29"/>
        <v>0</v>
      </c>
      <c r="AE163" s="110">
        <f t="shared" si="30"/>
        <v>0</v>
      </c>
      <c r="AF163" s="110">
        <f t="shared" si="31"/>
        <v>0</v>
      </c>
      <c r="AG163" s="110">
        <f t="shared" si="32"/>
        <v>0</v>
      </c>
      <c r="AH163" s="110">
        <f t="shared" si="32"/>
        <v>0</v>
      </c>
      <c r="AI163" s="110">
        <f t="shared" si="32"/>
        <v>0</v>
      </c>
      <c r="AJ163" s="110">
        <f t="shared" si="32"/>
        <v>0</v>
      </c>
      <c r="AK163" s="110">
        <f t="shared" si="32"/>
        <v>0</v>
      </c>
    </row>
    <row r="164" spans="2:37">
      <c r="B164" s="109" t="s">
        <v>62</v>
      </c>
      <c r="D164" s="110" t="s">
        <v>59</v>
      </c>
      <c r="E164" s="110"/>
      <c r="F164" s="110" t="str">
        <f t="shared" si="23"/>
        <v/>
      </c>
      <c r="G164" s="110"/>
      <c r="H164" s="110"/>
      <c r="I164" s="110"/>
      <c r="J164" s="110">
        <f t="shared" si="27"/>
        <v>0</v>
      </c>
      <c r="K164" s="110">
        <f t="shared" si="27"/>
        <v>0</v>
      </c>
      <c r="L164" s="110">
        <f t="shared" si="27"/>
        <v>0</v>
      </c>
      <c r="M164" s="110">
        <f t="shared" si="27"/>
        <v>0</v>
      </c>
      <c r="N164" s="110">
        <f t="shared" si="27"/>
        <v>0</v>
      </c>
      <c r="O164" s="110">
        <f t="shared" si="27"/>
        <v>0</v>
      </c>
      <c r="P164" s="110">
        <f t="shared" si="27"/>
        <v>0</v>
      </c>
      <c r="Q164" s="110">
        <f t="shared" si="27"/>
        <v>0</v>
      </c>
      <c r="R164" s="110">
        <f t="shared" si="27"/>
        <v>0</v>
      </c>
      <c r="S164" s="110">
        <f t="shared" si="27"/>
        <v>0</v>
      </c>
      <c r="T164" s="110">
        <f t="shared" si="27"/>
        <v>0</v>
      </c>
      <c r="U164" s="110">
        <f t="shared" si="27"/>
        <v>0</v>
      </c>
      <c r="V164" s="110">
        <f t="shared" si="27"/>
        <v>0</v>
      </c>
      <c r="W164" s="110">
        <f t="shared" si="27"/>
        <v>0</v>
      </c>
      <c r="X164" s="110">
        <f t="shared" si="27"/>
        <v>0</v>
      </c>
      <c r="Y164" s="110">
        <f t="shared" si="27"/>
        <v>0</v>
      </c>
      <c r="Z164" s="110">
        <f t="shared" si="27"/>
        <v>0</v>
      </c>
      <c r="AA164" s="110">
        <f t="shared" si="27"/>
        <v>0</v>
      </c>
      <c r="AB164" s="110">
        <f t="shared" si="28"/>
        <v>0</v>
      </c>
      <c r="AC164" s="110">
        <f t="shared" si="29"/>
        <v>0</v>
      </c>
      <c r="AD164" s="110">
        <f t="shared" si="29"/>
        <v>0</v>
      </c>
      <c r="AE164" s="110">
        <f t="shared" si="30"/>
        <v>0</v>
      </c>
      <c r="AF164" s="110">
        <f t="shared" si="31"/>
        <v>0</v>
      </c>
      <c r="AG164" s="110">
        <f t="shared" si="32"/>
        <v>0</v>
      </c>
      <c r="AH164" s="110">
        <f t="shared" si="32"/>
        <v>0</v>
      </c>
      <c r="AI164" s="110">
        <f t="shared" si="32"/>
        <v>0</v>
      </c>
      <c r="AJ164" s="110">
        <f t="shared" si="32"/>
        <v>0</v>
      </c>
      <c r="AK164" s="110">
        <f t="shared" si="32"/>
        <v>0</v>
      </c>
    </row>
    <row r="165" spans="2:37">
      <c r="B165" s="109" t="s">
        <v>63</v>
      </c>
      <c r="D165" s="110"/>
      <c r="E165" s="110"/>
      <c r="F165" s="110" t="str">
        <f t="shared" si="23"/>
        <v/>
      </c>
      <c r="G165" s="110"/>
      <c r="H165" s="110"/>
      <c r="I165" s="110"/>
      <c r="J165" s="110" t="str">
        <f t="shared" si="27"/>
        <v/>
      </c>
      <c r="K165" s="110" t="str">
        <f t="shared" si="27"/>
        <v/>
      </c>
      <c r="L165" s="110" t="str">
        <f t="shared" si="27"/>
        <v/>
      </c>
      <c r="M165" s="110" t="str">
        <f t="shared" si="27"/>
        <v/>
      </c>
      <c r="N165" s="110">
        <f t="shared" si="27"/>
        <v>0</v>
      </c>
      <c r="O165" s="110">
        <f t="shared" si="27"/>
        <v>0</v>
      </c>
      <c r="P165" s="110">
        <f t="shared" si="27"/>
        <v>0</v>
      </c>
      <c r="Q165" s="110">
        <f t="shared" si="27"/>
        <v>0</v>
      </c>
      <c r="R165" s="110">
        <f t="shared" si="27"/>
        <v>0</v>
      </c>
      <c r="S165" s="110">
        <f t="shared" si="27"/>
        <v>0</v>
      </c>
      <c r="T165" s="110">
        <f t="shared" si="27"/>
        <v>0</v>
      </c>
      <c r="U165" s="110">
        <f t="shared" si="27"/>
        <v>0</v>
      </c>
      <c r="V165" s="110">
        <f t="shared" si="27"/>
        <v>0</v>
      </c>
      <c r="W165" s="110">
        <f t="shared" si="27"/>
        <v>0</v>
      </c>
      <c r="X165" s="110">
        <f t="shared" si="27"/>
        <v>0</v>
      </c>
      <c r="Y165" s="110">
        <f t="shared" si="27"/>
        <v>0</v>
      </c>
      <c r="Z165" s="110">
        <f t="shared" si="27"/>
        <v>0</v>
      </c>
      <c r="AA165" s="110">
        <f t="shared" si="27"/>
        <v>0</v>
      </c>
      <c r="AB165" s="110">
        <f t="shared" si="28"/>
        <v>0</v>
      </c>
      <c r="AC165" s="110">
        <f t="shared" si="29"/>
        <v>0</v>
      </c>
      <c r="AD165" s="110">
        <f t="shared" si="29"/>
        <v>0</v>
      </c>
      <c r="AE165" s="110">
        <f t="shared" si="30"/>
        <v>0</v>
      </c>
      <c r="AF165" s="110">
        <f t="shared" si="31"/>
        <v>0</v>
      </c>
      <c r="AG165" s="110">
        <f t="shared" si="32"/>
        <v>0</v>
      </c>
      <c r="AH165" s="110">
        <f t="shared" si="32"/>
        <v>0</v>
      </c>
      <c r="AI165" s="110">
        <f t="shared" si="32"/>
        <v>0</v>
      </c>
      <c r="AJ165" s="110">
        <f t="shared" si="32"/>
        <v>0</v>
      </c>
      <c r="AK165" s="110">
        <f t="shared" si="32"/>
        <v>0</v>
      </c>
    </row>
    <row r="166" spans="2:37">
      <c r="B166" s="109" t="s">
        <v>64</v>
      </c>
      <c r="D166" s="110"/>
      <c r="E166" s="110"/>
      <c r="F166" s="110" t="str">
        <f t="shared" si="23"/>
        <v/>
      </c>
      <c r="G166" s="110"/>
      <c r="H166" s="110"/>
      <c r="I166" s="110"/>
      <c r="J166" s="110" t="str">
        <f t="shared" si="27"/>
        <v/>
      </c>
      <c r="K166" s="110" t="str">
        <f t="shared" si="27"/>
        <v/>
      </c>
      <c r="L166" s="110" t="str">
        <f t="shared" si="27"/>
        <v/>
      </c>
      <c r="M166" s="110" t="str">
        <f t="shared" si="27"/>
        <v/>
      </c>
      <c r="N166" s="110">
        <f t="shared" si="27"/>
        <v>0</v>
      </c>
      <c r="O166" s="110">
        <f t="shared" si="27"/>
        <v>0</v>
      </c>
      <c r="P166" s="110">
        <f t="shared" si="27"/>
        <v>0</v>
      </c>
      <c r="Q166" s="110">
        <f t="shared" si="27"/>
        <v>0</v>
      </c>
      <c r="R166" s="110">
        <f t="shared" si="27"/>
        <v>0</v>
      </c>
      <c r="S166" s="110">
        <f t="shared" si="27"/>
        <v>0</v>
      </c>
      <c r="T166" s="110">
        <f t="shared" si="27"/>
        <v>0</v>
      </c>
      <c r="U166" s="110">
        <f t="shared" si="27"/>
        <v>0</v>
      </c>
      <c r="V166" s="110">
        <f t="shared" si="27"/>
        <v>0</v>
      </c>
      <c r="W166" s="110">
        <f t="shared" si="27"/>
        <v>0</v>
      </c>
      <c r="X166" s="110">
        <f t="shared" si="27"/>
        <v>0</v>
      </c>
      <c r="Y166" s="110">
        <f t="shared" si="27"/>
        <v>0</v>
      </c>
      <c r="Z166" s="110">
        <f t="shared" si="27"/>
        <v>0</v>
      </c>
      <c r="AA166" s="110">
        <f t="shared" si="27"/>
        <v>0</v>
      </c>
      <c r="AB166" s="110">
        <f t="shared" si="28"/>
        <v>0</v>
      </c>
      <c r="AC166" s="110">
        <f t="shared" si="29"/>
        <v>0</v>
      </c>
      <c r="AD166" s="110">
        <f t="shared" si="29"/>
        <v>0</v>
      </c>
      <c r="AE166" s="110">
        <f t="shared" si="30"/>
        <v>0</v>
      </c>
      <c r="AF166" s="110">
        <f t="shared" si="31"/>
        <v>0</v>
      </c>
      <c r="AG166" s="110">
        <f t="shared" si="32"/>
        <v>0</v>
      </c>
      <c r="AH166" s="110">
        <f t="shared" si="32"/>
        <v>0</v>
      </c>
      <c r="AI166" s="110">
        <f t="shared" si="32"/>
        <v>0</v>
      </c>
      <c r="AJ166" s="110">
        <f t="shared" si="32"/>
        <v>0</v>
      </c>
      <c r="AK166" s="110">
        <f t="shared" si="32"/>
        <v>0</v>
      </c>
    </row>
    <row r="167" spans="2:37">
      <c r="B167" s="109" t="s">
        <v>127</v>
      </c>
      <c r="D167" s="110"/>
      <c r="E167" s="110"/>
      <c r="F167" s="110" t="str">
        <f t="shared" si="23"/>
        <v/>
      </c>
      <c r="G167" s="110"/>
      <c r="H167" s="110"/>
      <c r="I167" s="110"/>
      <c r="J167" s="110" t="str">
        <f t="shared" si="27"/>
        <v/>
      </c>
      <c r="K167" s="110" t="str">
        <f t="shared" si="27"/>
        <v/>
      </c>
      <c r="L167" s="110" t="str">
        <f t="shared" si="27"/>
        <v/>
      </c>
      <c r="M167" s="110" t="str">
        <f t="shared" si="27"/>
        <v/>
      </c>
      <c r="N167" s="110">
        <f t="shared" si="27"/>
        <v>0</v>
      </c>
      <c r="O167" s="110">
        <f t="shared" si="27"/>
        <v>0</v>
      </c>
      <c r="P167" s="110">
        <f t="shared" si="27"/>
        <v>0</v>
      </c>
      <c r="Q167" s="110">
        <f t="shared" si="27"/>
        <v>0</v>
      </c>
      <c r="R167" s="110">
        <f t="shared" si="27"/>
        <v>0</v>
      </c>
      <c r="S167" s="110">
        <f t="shared" si="27"/>
        <v>0</v>
      </c>
      <c r="T167" s="110">
        <f t="shared" si="27"/>
        <v>0</v>
      </c>
      <c r="U167" s="110">
        <f t="shared" si="27"/>
        <v>0</v>
      </c>
      <c r="V167" s="110">
        <f t="shared" si="27"/>
        <v>0</v>
      </c>
      <c r="W167" s="110">
        <f t="shared" si="27"/>
        <v>0</v>
      </c>
      <c r="X167" s="110">
        <f t="shared" si="27"/>
        <v>0</v>
      </c>
      <c r="Y167" s="110">
        <f t="shared" si="27"/>
        <v>0</v>
      </c>
      <c r="Z167" s="110">
        <f t="shared" si="27"/>
        <v>0</v>
      </c>
      <c r="AA167" s="110">
        <f t="shared" si="27"/>
        <v>0</v>
      </c>
      <c r="AB167" s="110">
        <f t="shared" si="28"/>
        <v>0</v>
      </c>
      <c r="AC167" s="110">
        <f t="shared" si="29"/>
        <v>0</v>
      </c>
      <c r="AD167" s="110">
        <f t="shared" si="29"/>
        <v>0</v>
      </c>
      <c r="AE167" s="110">
        <f t="shared" si="30"/>
        <v>0</v>
      </c>
      <c r="AF167" s="110">
        <f t="shared" si="31"/>
        <v>0</v>
      </c>
      <c r="AG167" s="110">
        <f t="shared" si="32"/>
        <v>0</v>
      </c>
      <c r="AH167" s="110">
        <f t="shared" si="32"/>
        <v>0</v>
      </c>
      <c r="AI167" s="110">
        <f t="shared" si="32"/>
        <v>0</v>
      </c>
      <c r="AJ167" s="110">
        <f t="shared" si="32"/>
        <v>0</v>
      </c>
      <c r="AK167" s="110">
        <f t="shared" si="32"/>
        <v>0</v>
      </c>
    </row>
    <row r="168" spans="2:37">
      <c r="B168" s="109" t="s">
        <v>128</v>
      </c>
      <c r="D168" s="110"/>
      <c r="E168" s="110"/>
      <c r="F168" s="110" t="str">
        <f t="shared" si="23"/>
        <v/>
      </c>
      <c r="G168" s="110"/>
      <c r="H168" s="110"/>
      <c r="I168" s="110"/>
      <c r="J168" s="110" t="str">
        <f t="shared" si="27"/>
        <v/>
      </c>
      <c r="K168" s="110" t="str">
        <f t="shared" si="27"/>
        <v/>
      </c>
      <c r="L168" s="110" t="str">
        <f t="shared" si="27"/>
        <v/>
      </c>
      <c r="M168" s="110" t="str">
        <f t="shared" si="27"/>
        <v/>
      </c>
      <c r="N168" s="110">
        <f t="shared" si="27"/>
        <v>0</v>
      </c>
      <c r="O168" s="110">
        <f t="shared" si="27"/>
        <v>0</v>
      </c>
      <c r="P168" s="110">
        <f t="shared" si="27"/>
        <v>0</v>
      </c>
      <c r="Q168" s="110">
        <f t="shared" si="27"/>
        <v>0</v>
      </c>
      <c r="R168" s="110">
        <f t="shared" si="27"/>
        <v>0</v>
      </c>
      <c r="S168" s="110">
        <f t="shared" si="27"/>
        <v>0</v>
      </c>
      <c r="T168" s="110">
        <f t="shared" si="27"/>
        <v>0</v>
      </c>
      <c r="U168" s="110">
        <f t="shared" si="27"/>
        <v>0</v>
      </c>
      <c r="V168" s="110">
        <f t="shared" si="27"/>
        <v>0</v>
      </c>
      <c r="W168" s="110">
        <f t="shared" si="27"/>
        <v>0</v>
      </c>
      <c r="X168" s="110">
        <f t="shared" si="27"/>
        <v>0</v>
      </c>
      <c r="Y168" s="110">
        <f t="shared" si="27"/>
        <v>0</v>
      </c>
      <c r="Z168" s="110">
        <f t="shared" si="27"/>
        <v>0</v>
      </c>
      <c r="AA168" s="110">
        <f t="shared" si="27"/>
        <v>0</v>
      </c>
      <c r="AB168" s="110">
        <f t="shared" si="28"/>
        <v>0</v>
      </c>
      <c r="AC168" s="110">
        <f t="shared" si="29"/>
        <v>0</v>
      </c>
      <c r="AD168" s="110">
        <f t="shared" si="29"/>
        <v>0</v>
      </c>
      <c r="AE168" s="110">
        <f t="shared" si="30"/>
        <v>0</v>
      </c>
      <c r="AF168" s="110">
        <f t="shared" si="31"/>
        <v>0</v>
      </c>
      <c r="AG168" s="110">
        <f t="shared" si="32"/>
        <v>0</v>
      </c>
      <c r="AH168" s="110">
        <f t="shared" si="32"/>
        <v>0</v>
      </c>
      <c r="AI168" s="110">
        <f t="shared" si="32"/>
        <v>0</v>
      </c>
      <c r="AJ168" s="110">
        <f t="shared" si="32"/>
        <v>0</v>
      </c>
      <c r="AK168" s="110">
        <f t="shared" si="32"/>
        <v>0</v>
      </c>
    </row>
    <row r="169" spans="2:37">
      <c r="B169" s="109" t="s">
        <v>68</v>
      </c>
      <c r="D169" s="110"/>
      <c r="E169" s="110"/>
      <c r="F169" s="110" t="str">
        <f t="shared" si="23"/>
        <v/>
      </c>
      <c r="G169" s="110"/>
      <c r="H169" s="110"/>
      <c r="I169" s="110"/>
      <c r="J169" s="110" t="str">
        <f t="shared" si="27"/>
        <v/>
      </c>
      <c r="K169" s="110" t="str">
        <f t="shared" si="27"/>
        <v/>
      </c>
      <c r="L169" s="110" t="str">
        <f t="shared" si="27"/>
        <v/>
      </c>
      <c r="M169" s="110" t="str">
        <f t="shared" si="27"/>
        <v/>
      </c>
      <c r="N169" s="110">
        <f t="shared" si="27"/>
        <v>0</v>
      </c>
      <c r="O169" s="110">
        <f t="shared" si="27"/>
        <v>0</v>
      </c>
      <c r="P169" s="110">
        <f t="shared" si="27"/>
        <v>0</v>
      </c>
      <c r="Q169" s="110">
        <f t="shared" si="27"/>
        <v>0</v>
      </c>
      <c r="R169" s="110">
        <f t="shared" si="27"/>
        <v>0</v>
      </c>
      <c r="S169" s="110">
        <f t="shared" si="27"/>
        <v>0</v>
      </c>
      <c r="T169" s="110">
        <f t="shared" si="27"/>
        <v>0</v>
      </c>
      <c r="U169" s="110">
        <f t="shared" si="27"/>
        <v>0</v>
      </c>
      <c r="V169" s="110">
        <f t="shared" si="27"/>
        <v>0</v>
      </c>
      <c r="W169" s="110">
        <f t="shared" si="27"/>
        <v>0</v>
      </c>
      <c r="X169" s="110">
        <f t="shared" si="27"/>
        <v>0</v>
      </c>
      <c r="Y169" s="110">
        <f t="shared" si="27"/>
        <v>0</v>
      </c>
      <c r="Z169" s="110">
        <f t="shared" si="27"/>
        <v>0</v>
      </c>
      <c r="AA169" s="110">
        <f t="shared" si="27"/>
        <v>0</v>
      </c>
      <c r="AB169" s="110">
        <f t="shared" si="28"/>
        <v>0</v>
      </c>
      <c r="AC169" s="110">
        <f t="shared" si="29"/>
        <v>0</v>
      </c>
      <c r="AD169" s="110">
        <f t="shared" si="29"/>
        <v>0</v>
      </c>
      <c r="AE169" s="110">
        <f t="shared" si="30"/>
        <v>0</v>
      </c>
      <c r="AF169" s="110">
        <f t="shared" si="31"/>
        <v>0</v>
      </c>
      <c r="AG169" s="110">
        <f t="shared" si="32"/>
        <v>0</v>
      </c>
      <c r="AH169" s="110">
        <f t="shared" si="32"/>
        <v>0</v>
      </c>
      <c r="AI169" s="110">
        <f t="shared" si="32"/>
        <v>0</v>
      </c>
      <c r="AJ169" s="110">
        <f t="shared" si="32"/>
        <v>0</v>
      </c>
      <c r="AK169" s="110">
        <f t="shared" si="32"/>
        <v>0</v>
      </c>
    </row>
    <row r="170" spans="2:37">
      <c r="B170" s="109" t="s">
        <v>69</v>
      </c>
      <c r="D170" s="110"/>
      <c r="E170" s="110"/>
      <c r="F170" s="110" t="str">
        <f t="shared" si="23"/>
        <v/>
      </c>
      <c r="G170" s="110"/>
      <c r="H170" s="110"/>
      <c r="I170" s="110"/>
      <c r="J170" s="110" t="str">
        <f t="shared" si="27"/>
        <v/>
      </c>
      <c r="K170" s="110" t="str">
        <f t="shared" si="27"/>
        <v/>
      </c>
      <c r="L170" s="110" t="str">
        <f t="shared" si="27"/>
        <v/>
      </c>
      <c r="M170" s="110" t="str">
        <f t="shared" si="27"/>
        <v/>
      </c>
      <c r="N170" s="110">
        <f t="shared" si="27"/>
        <v>0</v>
      </c>
      <c r="O170" s="110">
        <f t="shared" si="27"/>
        <v>0</v>
      </c>
      <c r="P170" s="110">
        <f t="shared" si="27"/>
        <v>0</v>
      </c>
      <c r="Q170" s="110">
        <f t="shared" si="27"/>
        <v>0</v>
      </c>
      <c r="R170" s="110">
        <f t="shared" si="27"/>
        <v>0</v>
      </c>
      <c r="S170" s="110">
        <f t="shared" si="27"/>
        <v>0</v>
      </c>
      <c r="T170" s="110">
        <f t="shared" si="27"/>
        <v>0</v>
      </c>
      <c r="U170" s="110">
        <f t="shared" si="27"/>
        <v>0</v>
      </c>
      <c r="V170" s="110">
        <f t="shared" si="27"/>
        <v>0</v>
      </c>
      <c r="W170" s="110">
        <f t="shared" si="27"/>
        <v>0</v>
      </c>
      <c r="X170" s="110">
        <f t="shared" si="27"/>
        <v>0</v>
      </c>
      <c r="Y170" s="110">
        <f t="shared" si="27"/>
        <v>0</v>
      </c>
      <c r="Z170" s="110">
        <f t="shared" si="27"/>
        <v>0</v>
      </c>
      <c r="AA170" s="110">
        <f t="shared" si="27"/>
        <v>0</v>
      </c>
      <c r="AB170" s="110">
        <f t="shared" si="28"/>
        <v>0</v>
      </c>
      <c r="AC170" s="110">
        <f t="shared" si="29"/>
        <v>0</v>
      </c>
      <c r="AD170" s="110">
        <f t="shared" si="29"/>
        <v>0</v>
      </c>
      <c r="AE170" s="110">
        <f t="shared" si="30"/>
        <v>0</v>
      </c>
      <c r="AF170" s="110">
        <f t="shared" si="31"/>
        <v>0</v>
      </c>
      <c r="AG170" s="110">
        <f t="shared" si="32"/>
        <v>0</v>
      </c>
      <c r="AH170" s="110">
        <f t="shared" si="32"/>
        <v>0</v>
      </c>
      <c r="AI170" s="110">
        <f t="shared" si="32"/>
        <v>0</v>
      </c>
      <c r="AJ170" s="110">
        <f t="shared" si="32"/>
        <v>0</v>
      </c>
      <c r="AK170" s="110">
        <f t="shared" si="32"/>
        <v>0</v>
      </c>
    </row>
    <row r="171" spans="2:37">
      <c r="B171" s="109" t="s">
        <v>70</v>
      </c>
      <c r="D171" s="110"/>
      <c r="E171" s="110"/>
      <c r="F171" s="110" t="str">
        <f t="shared" si="23"/>
        <v/>
      </c>
      <c r="G171" s="110"/>
      <c r="H171" s="110"/>
      <c r="I171" s="110"/>
      <c r="J171" s="110" t="str">
        <f t="shared" si="27"/>
        <v/>
      </c>
      <c r="K171" s="110" t="str">
        <f t="shared" si="27"/>
        <v/>
      </c>
      <c r="L171" s="110" t="str">
        <f t="shared" si="27"/>
        <v/>
      </c>
      <c r="M171" s="110" t="str">
        <f t="shared" si="27"/>
        <v/>
      </c>
      <c r="N171" s="110">
        <f t="shared" si="27"/>
        <v>0</v>
      </c>
      <c r="O171" s="110">
        <f t="shared" si="27"/>
        <v>0</v>
      </c>
      <c r="P171" s="110">
        <f t="shared" si="27"/>
        <v>0</v>
      </c>
      <c r="Q171" s="110">
        <f t="shared" si="27"/>
        <v>0</v>
      </c>
      <c r="R171" s="110">
        <f t="shared" si="27"/>
        <v>0</v>
      </c>
      <c r="S171" s="110">
        <f t="shared" si="27"/>
        <v>0</v>
      </c>
      <c r="T171" s="110">
        <f t="shared" si="27"/>
        <v>0</v>
      </c>
      <c r="U171" s="110">
        <f t="shared" si="27"/>
        <v>0</v>
      </c>
      <c r="V171" s="110">
        <f t="shared" si="27"/>
        <v>0</v>
      </c>
      <c r="W171" s="110">
        <f t="shared" si="27"/>
        <v>0</v>
      </c>
      <c r="X171" s="110">
        <f t="shared" si="27"/>
        <v>0</v>
      </c>
      <c r="Y171" s="110">
        <f t="shared" si="27"/>
        <v>0</v>
      </c>
      <c r="Z171" s="110">
        <f t="shared" si="27"/>
        <v>0</v>
      </c>
      <c r="AA171" s="110">
        <f t="shared" si="27"/>
        <v>0</v>
      </c>
      <c r="AB171" s="110">
        <f t="shared" si="28"/>
        <v>0</v>
      </c>
      <c r="AC171" s="110">
        <f t="shared" si="29"/>
        <v>0</v>
      </c>
      <c r="AD171" s="110">
        <f t="shared" si="29"/>
        <v>0</v>
      </c>
      <c r="AE171" s="110">
        <f t="shared" si="30"/>
        <v>0</v>
      </c>
      <c r="AF171" s="110">
        <f t="shared" si="31"/>
        <v>0</v>
      </c>
      <c r="AG171" s="110">
        <f t="shared" si="32"/>
        <v>0</v>
      </c>
      <c r="AH171" s="110">
        <f t="shared" si="32"/>
        <v>0</v>
      </c>
      <c r="AI171" s="110">
        <f t="shared" si="32"/>
        <v>0</v>
      </c>
      <c r="AJ171" s="110">
        <f t="shared" si="32"/>
        <v>0</v>
      </c>
      <c r="AK171" s="110">
        <f t="shared" si="32"/>
        <v>0</v>
      </c>
    </row>
    <row r="172" spans="2:37">
      <c r="B172" s="109" t="s">
        <v>72</v>
      </c>
      <c r="D172" s="110"/>
      <c r="E172" s="110"/>
      <c r="F172" s="110" t="str">
        <f t="shared" si="23"/>
        <v/>
      </c>
      <c r="G172" s="110"/>
      <c r="H172" s="110"/>
      <c r="I172" s="110"/>
      <c r="J172" s="110">
        <f t="shared" si="27"/>
        <v>0</v>
      </c>
      <c r="K172" s="110">
        <f t="shared" si="27"/>
        <v>0</v>
      </c>
      <c r="L172" s="110">
        <f t="shared" si="27"/>
        <v>0</v>
      </c>
      <c r="M172" s="110">
        <f t="shared" si="27"/>
        <v>0</v>
      </c>
      <c r="N172" s="110">
        <f t="shared" si="27"/>
        <v>0</v>
      </c>
      <c r="O172" s="110">
        <f t="shared" si="27"/>
        <v>0</v>
      </c>
      <c r="P172" s="110">
        <f t="shared" si="27"/>
        <v>0</v>
      </c>
      <c r="Q172" s="110">
        <f t="shared" si="27"/>
        <v>0</v>
      </c>
      <c r="R172" s="110">
        <f t="shared" si="27"/>
        <v>0</v>
      </c>
      <c r="S172" s="110">
        <f t="shared" si="27"/>
        <v>0</v>
      </c>
      <c r="T172" s="110">
        <f t="shared" si="27"/>
        <v>0</v>
      </c>
      <c r="U172" s="110">
        <f t="shared" si="27"/>
        <v>0</v>
      </c>
      <c r="V172" s="110">
        <f t="shared" si="27"/>
        <v>0</v>
      </c>
      <c r="W172" s="110">
        <f t="shared" si="27"/>
        <v>0</v>
      </c>
      <c r="X172" s="110">
        <f t="shared" si="27"/>
        <v>0</v>
      </c>
      <c r="Y172" s="110">
        <f t="shared" si="27"/>
        <v>0</v>
      </c>
      <c r="Z172" s="110">
        <f t="shared" si="27"/>
        <v>0</v>
      </c>
      <c r="AA172" s="110">
        <f t="shared" si="27"/>
        <v>0</v>
      </c>
      <c r="AB172" s="110">
        <f t="shared" si="28"/>
        <v>0</v>
      </c>
      <c r="AC172" s="110">
        <f t="shared" si="29"/>
        <v>0</v>
      </c>
      <c r="AD172" s="110">
        <f t="shared" si="29"/>
        <v>0</v>
      </c>
      <c r="AE172" s="110">
        <f t="shared" si="30"/>
        <v>0</v>
      </c>
      <c r="AF172" s="110">
        <f t="shared" si="31"/>
        <v>0</v>
      </c>
      <c r="AG172" s="110">
        <f t="shared" si="32"/>
        <v>0</v>
      </c>
      <c r="AH172" s="110">
        <f t="shared" si="32"/>
        <v>0</v>
      </c>
      <c r="AI172" s="110">
        <f t="shared" si="32"/>
        <v>0</v>
      </c>
      <c r="AJ172" s="110">
        <f t="shared" si="32"/>
        <v>0</v>
      </c>
      <c r="AK172" s="110">
        <f t="shared" si="32"/>
        <v>0</v>
      </c>
    </row>
    <row r="173" spans="2:37">
      <c r="B173" s="109" t="s">
        <v>74</v>
      </c>
      <c r="D173" s="110"/>
      <c r="E173" s="110"/>
      <c r="F173" s="110" t="str">
        <f t="shared" si="23"/>
        <v/>
      </c>
      <c r="G173" s="110"/>
      <c r="H173" s="110"/>
      <c r="I173" s="110"/>
      <c r="J173" s="110" t="str">
        <f t="shared" si="27"/>
        <v/>
      </c>
      <c r="K173" s="110" t="str">
        <f t="shared" si="27"/>
        <v/>
      </c>
      <c r="L173" s="110" t="str">
        <f t="shared" si="27"/>
        <v/>
      </c>
      <c r="M173" s="110" t="str">
        <f t="shared" si="27"/>
        <v/>
      </c>
      <c r="N173" s="110">
        <f t="shared" si="27"/>
        <v>0</v>
      </c>
      <c r="O173" s="110">
        <f t="shared" si="27"/>
        <v>0</v>
      </c>
      <c r="P173" s="110">
        <f t="shared" si="27"/>
        <v>0</v>
      </c>
      <c r="Q173" s="110">
        <f t="shared" si="27"/>
        <v>0</v>
      </c>
      <c r="R173" s="110">
        <f t="shared" si="27"/>
        <v>0</v>
      </c>
      <c r="S173" s="110">
        <f t="shared" si="27"/>
        <v>0</v>
      </c>
      <c r="T173" s="110">
        <f t="shared" si="27"/>
        <v>0</v>
      </c>
      <c r="U173" s="110">
        <f t="shared" si="27"/>
        <v>0</v>
      </c>
      <c r="V173" s="110">
        <f t="shared" si="27"/>
        <v>0</v>
      </c>
      <c r="W173" s="110">
        <f t="shared" si="27"/>
        <v>0</v>
      </c>
      <c r="X173" s="110">
        <f t="shared" si="27"/>
        <v>0</v>
      </c>
      <c r="Y173" s="110">
        <f t="shared" si="27"/>
        <v>0</v>
      </c>
      <c r="Z173" s="110">
        <f t="shared" si="27"/>
        <v>0</v>
      </c>
      <c r="AA173" s="110">
        <f t="shared" si="27"/>
        <v>0</v>
      </c>
      <c r="AB173" s="110">
        <f t="shared" si="28"/>
        <v>0</v>
      </c>
      <c r="AC173" s="110">
        <f t="shared" si="29"/>
        <v>0</v>
      </c>
      <c r="AD173" s="110">
        <f t="shared" si="29"/>
        <v>0</v>
      </c>
      <c r="AE173" s="110">
        <f t="shared" si="30"/>
        <v>0</v>
      </c>
      <c r="AF173" s="110">
        <f t="shared" si="31"/>
        <v>0</v>
      </c>
      <c r="AG173" s="110">
        <f t="shared" si="32"/>
        <v>0</v>
      </c>
      <c r="AH173" s="110">
        <f t="shared" si="32"/>
        <v>0</v>
      </c>
      <c r="AI173" s="110">
        <f t="shared" si="32"/>
        <v>0</v>
      </c>
      <c r="AJ173" s="110">
        <f t="shared" si="32"/>
        <v>0</v>
      </c>
      <c r="AK173" s="110">
        <f t="shared" si="32"/>
        <v>0</v>
      </c>
    </row>
    <row r="174" spans="2:37">
      <c r="B174" s="109" t="s">
        <v>76</v>
      </c>
      <c r="D174" s="110"/>
      <c r="E174" s="110"/>
      <c r="F174" s="110" t="str">
        <f t="shared" si="23"/>
        <v/>
      </c>
      <c r="G174" s="110"/>
      <c r="H174" s="110"/>
      <c r="I174" s="110"/>
      <c r="J174" s="110" t="str">
        <f t="shared" si="27"/>
        <v/>
      </c>
      <c r="K174" s="110" t="str">
        <f t="shared" si="27"/>
        <v/>
      </c>
      <c r="L174" s="110" t="str">
        <f t="shared" si="27"/>
        <v/>
      </c>
      <c r="M174" s="110" t="str">
        <f t="shared" si="27"/>
        <v/>
      </c>
      <c r="N174" s="110">
        <f t="shared" si="27"/>
        <v>0</v>
      </c>
      <c r="O174" s="110">
        <f t="shared" si="27"/>
        <v>0</v>
      </c>
      <c r="P174" s="110">
        <f t="shared" si="27"/>
        <v>0</v>
      </c>
      <c r="Q174" s="110">
        <f t="shared" si="27"/>
        <v>0</v>
      </c>
      <c r="R174" s="110">
        <f t="shared" si="27"/>
        <v>0</v>
      </c>
      <c r="S174" s="110">
        <f t="shared" si="27"/>
        <v>0</v>
      </c>
      <c r="T174" s="110">
        <f t="shared" si="27"/>
        <v>0</v>
      </c>
      <c r="U174" s="110">
        <f t="shared" si="27"/>
        <v>0</v>
      </c>
      <c r="V174" s="110">
        <f t="shared" si="27"/>
        <v>0</v>
      </c>
      <c r="W174" s="110">
        <f t="shared" si="27"/>
        <v>0</v>
      </c>
      <c r="X174" s="110">
        <f t="shared" si="27"/>
        <v>0</v>
      </c>
      <c r="Y174" s="110">
        <f t="shared" si="27"/>
        <v>0</v>
      </c>
      <c r="Z174" s="110">
        <f t="shared" si="27"/>
        <v>0</v>
      </c>
      <c r="AA174" s="110">
        <f t="shared" si="27"/>
        <v>0</v>
      </c>
      <c r="AB174" s="110">
        <f t="shared" si="28"/>
        <v>0</v>
      </c>
      <c r="AC174" s="110">
        <f t="shared" si="29"/>
        <v>0</v>
      </c>
      <c r="AD174" s="110">
        <f t="shared" si="29"/>
        <v>0</v>
      </c>
      <c r="AE174" s="110">
        <f t="shared" si="30"/>
        <v>0</v>
      </c>
      <c r="AF174" s="110">
        <f t="shared" si="31"/>
        <v>0</v>
      </c>
      <c r="AG174" s="110">
        <f t="shared" si="32"/>
        <v>0</v>
      </c>
      <c r="AH174" s="110">
        <f t="shared" si="32"/>
        <v>0</v>
      </c>
      <c r="AI174" s="110">
        <f t="shared" si="32"/>
        <v>0</v>
      </c>
      <c r="AJ174" s="110">
        <f t="shared" si="32"/>
        <v>0</v>
      </c>
      <c r="AK174" s="110">
        <f t="shared" si="32"/>
        <v>0</v>
      </c>
    </row>
    <row r="175" spans="2:37">
      <c r="B175" s="109" t="s">
        <v>78</v>
      </c>
      <c r="D175" s="110"/>
      <c r="E175" s="110"/>
      <c r="F175" s="110" t="str">
        <f t="shared" si="23"/>
        <v/>
      </c>
      <c r="G175" s="110"/>
      <c r="H175" s="110"/>
      <c r="I175" s="110"/>
      <c r="J175" s="110" t="str">
        <f t="shared" si="27"/>
        <v/>
      </c>
      <c r="K175" s="110" t="str">
        <f t="shared" si="27"/>
        <v/>
      </c>
      <c r="L175" s="110" t="str">
        <f t="shared" si="27"/>
        <v/>
      </c>
      <c r="M175" s="110" t="str">
        <f t="shared" ref="J175:AA178" si="33">IF(ISNUMBER(M53),M53*M$24,"")</f>
        <v/>
      </c>
      <c r="N175" s="110">
        <f t="shared" si="33"/>
        <v>0</v>
      </c>
      <c r="O175" s="110">
        <f t="shared" si="33"/>
        <v>0</v>
      </c>
      <c r="P175" s="110">
        <f t="shared" si="33"/>
        <v>0</v>
      </c>
      <c r="Q175" s="110">
        <f t="shared" si="33"/>
        <v>0</v>
      </c>
      <c r="R175" s="110">
        <f t="shared" si="33"/>
        <v>0</v>
      </c>
      <c r="S175" s="110">
        <f t="shared" si="33"/>
        <v>0</v>
      </c>
      <c r="T175" s="110">
        <f t="shared" si="33"/>
        <v>0</v>
      </c>
      <c r="U175" s="110">
        <f t="shared" si="33"/>
        <v>0</v>
      </c>
      <c r="V175" s="110">
        <f t="shared" si="33"/>
        <v>0</v>
      </c>
      <c r="W175" s="110">
        <f t="shared" si="33"/>
        <v>0</v>
      </c>
      <c r="X175" s="110">
        <f t="shared" si="33"/>
        <v>0</v>
      </c>
      <c r="Y175" s="110">
        <f t="shared" si="33"/>
        <v>0</v>
      </c>
      <c r="Z175" s="110">
        <f t="shared" si="33"/>
        <v>0</v>
      </c>
      <c r="AA175" s="110">
        <f t="shared" si="33"/>
        <v>0</v>
      </c>
      <c r="AB175" s="110">
        <f t="shared" si="28"/>
        <v>0</v>
      </c>
      <c r="AC175" s="110">
        <f t="shared" si="29"/>
        <v>0</v>
      </c>
      <c r="AD175" s="110">
        <f t="shared" si="29"/>
        <v>0</v>
      </c>
      <c r="AE175" s="110">
        <f t="shared" si="30"/>
        <v>0</v>
      </c>
      <c r="AF175" s="110">
        <f t="shared" si="31"/>
        <v>0</v>
      </c>
      <c r="AG175" s="110">
        <f t="shared" si="32"/>
        <v>0</v>
      </c>
      <c r="AH175" s="110">
        <f t="shared" si="32"/>
        <v>0</v>
      </c>
      <c r="AI175" s="110">
        <f t="shared" si="32"/>
        <v>0</v>
      </c>
      <c r="AJ175" s="110">
        <f t="shared" si="32"/>
        <v>0</v>
      </c>
      <c r="AK175" s="110">
        <f t="shared" si="32"/>
        <v>0</v>
      </c>
    </row>
    <row r="176" spans="2:37">
      <c r="B176" s="109" t="s">
        <v>80</v>
      </c>
      <c r="D176" s="110"/>
      <c r="E176" s="110"/>
      <c r="F176" s="110" t="str">
        <f t="shared" si="23"/>
        <v/>
      </c>
      <c r="G176" s="110"/>
      <c r="H176" s="110"/>
      <c r="I176" s="110"/>
      <c r="J176" s="110" t="str">
        <f t="shared" si="33"/>
        <v/>
      </c>
      <c r="K176" s="110" t="str">
        <f t="shared" si="33"/>
        <v/>
      </c>
      <c r="L176" s="110" t="str">
        <f t="shared" si="33"/>
        <v/>
      </c>
      <c r="M176" s="110" t="str">
        <f t="shared" si="33"/>
        <v/>
      </c>
      <c r="N176" s="110">
        <f t="shared" si="33"/>
        <v>0</v>
      </c>
      <c r="O176" s="110">
        <f t="shared" si="33"/>
        <v>0</v>
      </c>
      <c r="P176" s="110">
        <f t="shared" si="33"/>
        <v>0</v>
      </c>
      <c r="Q176" s="110">
        <f t="shared" si="33"/>
        <v>0</v>
      </c>
      <c r="R176" s="110">
        <f t="shared" si="33"/>
        <v>0</v>
      </c>
      <c r="S176" s="110">
        <f t="shared" si="33"/>
        <v>0</v>
      </c>
      <c r="T176" s="110">
        <f t="shared" si="33"/>
        <v>0</v>
      </c>
      <c r="U176" s="110">
        <f t="shared" si="33"/>
        <v>0</v>
      </c>
      <c r="V176" s="110">
        <f t="shared" si="33"/>
        <v>0</v>
      </c>
      <c r="W176" s="110">
        <f t="shared" si="33"/>
        <v>0</v>
      </c>
      <c r="X176" s="110">
        <f t="shared" si="33"/>
        <v>0</v>
      </c>
      <c r="Y176" s="110">
        <f t="shared" si="33"/>
        <v>0</v>
      </c>
      <c r="Z176" s="110">
        <f t="shared" si="33"/>
        <v>0</v>
      </c>
      <c r="AA176" s="110">
        <f t="shared" si="33"/>
        <v>0</v>
      </c>
      <c r="AB176" s="110">
        <f t="shared" si="28"/>
        <v>0</v>
      </c>
      <c r="AC176" s="110">
        <f t="shared" si="29"/>
        <v>0</v>
      </c>
      <c r="AD176" s="110">
        <f t="shared" si="29"/>
        <v>0</v>
      </c>
      <c r="AE176" s="110">
        <f t="shared" si="30"/>
        <v>0</v>
      </c>
      <c r="AF176" s="110">
        <f t="shared" si="31"/>
        <v>0</v>
      </c>
      <c r="AG176" s="110">
        <f t="shared" si="32"/>
        <v>0</v>
      </c>
      <c r="AH176" s="110">
        <f t="shared" si="32"/>
        <v>0</v>
      </c>
      <c r="AI176" s="110">
        <f t="shared" si="32"/>
        <v>0</v>
      </c>
      <c r="AJ176" s="110">
        <f t="shared" si="32"/>
        <v>0</v>
      </c>
      <c r="AK176" s="110">
        <f t="shared" si="32"/>
        <v>0</v>
      </c>
    </row>
    <row r="177" spans="2:37">
      <c r="B177" s="109" t="s">
        <v>82</v>
      </c>
      <c r="D177" s="110"/>
      <c r="E177" s="110"/>
      <c r="F177" s="110" t="str">
        <f t="shared" si="23"/>
        <v/>
      </c>
      <c r="G177" s="110"/>
      <c r="H177" s="110"/>
      <c r="I177" s="110"/>
      <c r="J177" s="110" t="str">
        <f t="shared" si="33"/>
        <v/>
      </c>
      <c r="K177" s="110" t="str">
        <f t="shared" si="33"/>
        <v/>
      </c>
      <c r="L177" s="110" t="str">
        <f t="shared" si="33"/>
        <v/>
      </c>
      <c r="M177" s="110" t="str">
        <f t="shared" si="33"/>
        <v/>
      </c>
      <c r="N177" s="110">
        <f t="shared" si="33"/>
        <v>0</v>
      </c>
      <c r="O177" s="110">
        <f t="shared" si="33"/>
        <v>0</v>
      </c>
      <c r="P177" s="110">
        <f t="shared" si="33"/>
        <v>0</v>
      </c>
      <c r="Q177" s="110">
        <f t="shared" si="33"/>
        <v>0</v>
      </c>
      <c r="R177" s="110">
        <f t="shared" si="33"/>
        <v>0</v>
      </c>
      <c r="S177" s="110">
        <f t="shared" si="33"/>
        <v>0</v>
      </c>
      <c r="T177" s="110">
        <f t="shared" si="33"/>
        <v>0</v>
      </c>
      <c r="U177" s="110">
        <f t="shared" si="33"/>
        <v>0</v>
      </c>
      <c r="V177" s="110">
        <f t="shared" si="33"/>
        <v>0</v>
      </c>
      <c r="W177" s="110">
        <f t="shared" si="33"/>
        <v>0</v>
      </c>
      <c r="X177" s="110">
        <f t="shared" si="33"/>
        <v>0</v>
      </c>
      <c r="Y177" s="110">
        <f t="shared" si="33"/>
        <v>0</v>
      </c>
      <c r="Z177" s="110">
        <f t="shared" si="33"/>
        <v>0</v>
      </c>
      <c r="AA177" s="110">
        <f t="shared" si="33"/>
        <v>0</v>
      </c>
      <c r="AB177" s="110">
        <f t="shared" si="28"/>
        <v>0</v>
      </c>
      <c r="AC177" s="110">
        <f t="shared" si="29"/>
        <v>0</v>
      </c>
      <c r="AD177" s="110">
        <f t="shared" si="29"/>
        <v>0</v>
      </c>
      <c r="AE177" s="110">
        <f t="shared" si="30"/>
        <v>0</v>
      </c>
      <c r="AF177" s="110">
        <f t="shared" si="31"/>
        <v>0</v>
      </c>
      <c r="AG177" s="110">
        <f t="shared" ref="AG177:AK178" si="34">IF(ISNUMBER(AG55),AG55*AG$24,"")</f>
        <v>0</v>
      </c>
      <c r="AH177" s="110">
        <f t="shared" si="34"/>
        <v>0</v>
      </c>
      <c r="AI177" s="110">
        <f t="shared" si="34"/>
        <v>0</v>
      </c>
      <c r="AJ177" s="110">
        <f t="shared" si="34"/>
        <v>0</v>
      </c>
      <c r="AK177" s="110">
        <f t="shared" si="34"/>
        <v>0</v>
      </c>
    </row>
    <row r="178" spans="2:37">
      <c r="B178" s="109" t="s">
        <v>84</v>
      </c>
      <c r="D178" s="110"/>
      <c r="E178" s="110"/>
      <c r="F178" s="110" t="str">
        <f t="shared" si="23"/>
        <v/>
      </c>
      <c r="G178" s="110"/>
      <c r="H178" s="110"/>
      <c r="I178" s="110"/>
      <c r="J178" s="110" t="str">
        <f t="shared" si="33"/>
        <v/>
      </c>
      <c r="K178" s="110" t="str">
        <f t="shared" si="33"/>
        <v/>
      </c>
      <c r="L178" s="110" t="str">
        <f t="shared" si="33"/>
        <v/>
      </c>
      <c r="M178" s="110" t="str">
        <f t="shared" si="33"/>
        <v/>
      </c>
      <c r="N178" s="110">
        <f t="shared" si="33"/>
        <v>0</v>
      </c>
      <c r="O178" s="110">
        <f t="shared" si="33"/>
        <v>0</v>
      </c>
      <c r="P178" s="110">
        <f t="shared" si="33"/>
        <v>0</v>
      </c>
      <c r="Q178" s="110">
        <f t="shared" si="33"/>
        <v>0</v>
      </c>
      <c r="R178" s="110">
        <f t="shared" si="33"/>
        <v>0</v>
      </c>
      <c r="S178" s="110">
        <f t="shared" si="33"/>
        <v>0</v>
      </c>
      <c r="T178" s="110">
        <f t="shared" si="33"/>
        <v>0</v>
      </c>
      <c r="U178" s="110">
        <f t="shared" si="33"/>
        <v>0</v>
      </c>
      <c r="V178" s="110">
        <f t="shared" si="33"/>
        <v>0</v>
      </c>
      <c r="W178" s="110">
        <f t="shared" si="33"/>
        <v>0</v>
      </c>
      <c r="X178" s="110">
        <f t="shared" si="33"/>
        <v>0</v>
      </c>
      <c r="Y178" s="110">
        <f t="shared" si="33"/>
        <v>0</v>
      </c>
      <c r="Z178" s="110">
        <f t="shared" si="33"/>
        <v>0</v>
      </c>
      <c r="AA178" s="110">
        <f t="shared" si="33"/>
        <v>0</v>
      </c>
      <c r="AB178" s="110">
        <f t="shared" si="28"/>
        <v>0</v>
      </c>
      <c r="AC178" s="110">
        <f t="shared" si="29"/>
        <v>0</v>
      </c>
      <c r="AD178" s="110">
        <f t="shared" si="29"/>
        <v>0</v>
      </c>
      <c r="AE178" s="110">
        <f t="shared" si="30"/>
        <v>0</v>
      </c>
      <c r="AF178" s="110">
        <f t="shared" si="31"/>
        <v>0</v>
      </c>
      <c r="AG178" s="110">
        <f t="shared" si="34"/>
        <v>0</v>
      </c>
      <c r="AH178" s="110">
        <f t="shared" si="34"/>
        <v>0</v>
      </c>
      <c r="AI178" s="110">
        <f t="shared" si="34"/>
        <v>0</v>
      </c>
      <c r="AJ178" s="110">
        <f t="shared" si="34"/>
        <v>0</v>
      </c>
      <c r="AK178" s="110">
        <f t="shared" si="34"/>
        <v>0</v>
      </c>
    </row>
    <row r="179" spans="2:37">
      <c r="B179" s="109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</row>
    <row r="180" spans="2:37">
      <c r="B180" s="109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</row>
    <row r="181" spans="2:37">
      <c r="B181" s="109" t="s">
        <v>89</v>
      </c>
      <c r="D181" s="110"/>
      <c r="E181" s="110"/>
      <c r="F181" s="110" t="str">
        <f t="shared" ref="F181:F194" si="35">IF(SUM(J181:AK181)&gt;0,SUM(J181:AK181),"")</f>
        <v/>
      </c>
      <c r="G181" s="110"/>
      <c r="H181" s="110"/>
      <c r="I181" s="110"/>
      <c r="J181" s="110" t="str">
        <f t="shared" ref="J181:AA194" si="36">IF(ISNUMBER(J59),J59*J$24,"")</f>
        <v/>
      </c>
      <c r="K181" s="110" t="str">
        <f t="shared" si="36"/>
        <v/>
      </c>
      <c r="L181" s="110" t="str">
        <f t="shared" si="36"/>
        <v/>
      </c>
      <c r="M181" s="110" t="str">
        <f t="shared" si="36"/>
        <v/>
      </c>
      <c r="N181" s="110">
        <f t="shared" si="36"/>
        <v>0</v>
      </c>
      <c r="O181" s="110">
        <f t="shared" si="36"/>
        <v>0</v>
      </c>
      <c r="P181" s="110">
        <f t="shared" si="36"/>
        <v>0</v>
      </c>
      <c r="Q181" s="110">
        <f t="shared" si="36"/>
        <v>0</v>
      </c>
      <c r="R181" s="110">
        <f t="shared" si="36"/>
        <v>0</v>
      </c>
      <c r="S181" s="110">
        <f t="shared" si="36"/>
        <v>0</v>
      </c>
      <c r="T181" s="110">
        <f t="shared" si="36"/>
        <v>0</v>
      </c>
      <c r="U181" s="110">
        <f t="shared" si="36"/>
        <v>0</v>
      </c>
      <c r="V181" s="110">
        <f t="shared" si="36"/>
        <v>0</v>
      </c>
      <c r="W181" s="110">
        <f t="shared" si="36"/>
        <v>0</v>
      </c>
      <c r="X181" s="110">
        <f t="shared" si="36"/>
        <v>0</v>
      </c>
      <c r="Y181" s="110">
        <f t="shared" si="36"/>
        <v>0</v>
      </c>
      <c r="Z181" s="110">
        <f t="shared" si="36"/>
        <v>0</v>
      </c>
      <c r="AA181" s="110">
        <f t="shared" si="36"/>
        <v>0</v>
      </c>
      <c r="AB181" s="110">
        <f t="shared" ref="AB181:AB194" si="37">IF(ISNUMBER(AB59),AB59*AE$24,"")</f>
        <v>0</v>
      </c>
      <c r="AC181" s="110">
        <f t="shared" ref="AC181:AD194" si="38">IF(ISNUMBER(AC59),AC59*AB$24,"")</f>
        <v>0</v>
      </c>
      <c r="AD181" s="110">
        <f t="shared" si="38"/>
        <v>0</v>
      </c>
      <c r="AE181" s="110">
        <f t="shared" ref="AE181:AE194" si="39">IF(ISNUMBER(AE59),AE59*AF$24,"")</f>
        <v>0</v>
      </c>
      <c r="AF181" s="110">
        <f t="shared" ref="AF181:AF194" si="40">IF(ISNUMBER(AF59),AF59*AD$24,"")</f>
        <v>0</v>
      </c>
      <c r="AG181" s="110">
        <f t="shared" ref="AG181:AK194" si="41">IF(ISNUMBER(AG59),AG59*AG$24,"")</f>
        <v>0</v>
      </c>
      <c r="AH181" s="110">
        <f t="shared" si="41"/>
        <v>0</v>
      </c>
      <c r="AI181" s="110">
        <f t="shared" si="41"/>
        <v>0</v>
      </c>
      <c r="AJ181" s="110">
        <f t="shared" si="41"/>
        <v>0</v>
      </c>
      <c r="AK181" s="110">
        <f t="shared" si="41"/>
        <v>0</v>
      </c>
    </row>
    <row r="182" spans="2:37">
      <c r="B182" s="113" t="s">
        <v>90</v>
      </c>
      <c r="D182" s="110"/>
      <c r="E182" s="110"/>
      <c r="F182" s="110" t="str">
        <f t="shared" si="35"/>
        <v/>
      </c>
      <c r="G182" s="110"/>
      <c r="H182" s="110"/>
      <c r="I182" s="110"/>
      <c r="J182" s="110" t="str">
        <f t="shared" si="36"/>
        <v/>
      </c>
      <c r="K182" s="110" t="str">
        <f t="shared" si="36"/>
        <v/>
      </c>
      <c r="L182" s="110" t="str">
        <f t="shared" si="36"/>
        <v/>
      </c>
      <c r="M182" s="110" t="str">
        <f t="shared" si="36"/>
        <v/>
      </c>
      <c r="N182" s="110">
        <f t="shared" si="36"/>
        <v>0</v>
      </c>
      <c r="O182" s="110">
        <f t="shared" si="36"/>
        <v>0</v>
      </c>
      <c r="P182" s="110">
        <f t="shared" si="36"/>
        <v>0</v>
      </c>
      <c r="Q182" s="110">
        <f t="shared" si="36"/>
        <v>0</v>
      </c>
      <c r="R182" s="110">
        <f t="shared" si="36"/>
        <v>0</v>
      </c>
      <c r="S182" s="110">
        <f t="shared" si="36"/>
        <v>0</v>
      </c>
      <c r="T182" s="110">
        <f t="shared" si="36"/>
        <v>0</v>
      </c>
      <c r="U182" s="110">
        <f t="shared" si="36"/>
        <v>0</v>
      </c>
      <c r="V182" s="110">
        <f t="shared" si="36"/>
        <v>0</v>
      </c>
      <c r="W182" s="110">
        <f t="shared" si="36"/>
        <v>0</v>
      </c>
      <c r="X182" s="110">
        <f t="shared" si="36"/>
        <v>0</v>
      </c>
      <c r="Y182" s="110">
        <f t="shared" si="36"/>
        <v>0</v>
      </c>
      <c r="Z182" s="110">
        <f t="shared" si="36"/>
        <v>0</v>
      </c>
      <c r="AA182" s="110">
        <f t="shared" si="36"/>
        <v>0</v>
      </c>
      <c r="AB182" s="110">
        <f t="shared" si="37"/>
        <v>0</v>
      </c>
      <c r="AC182" s="110">
        <f t="shared" si="38"/>
        <v>0</v>
      </c>
      <c r="AD182" s="110">
        <f t="shared" si="38"/>
        <v>0</v>
      </c>
      <c r="AE182" s="110">
        <f t="shared" si="39"/>
        <v>0</v>
      </c>
      <c r="AF182" s="110">
        <f t="shared" si="40"/>
        <v>0</v>
      </c>
      <c r="AG182" s="110">
        <f t="shared" si="41"/>
        <v>0</v>
      </c>
      <c r="AH182" s="110">
        <f t="shared" si="41"/>
        <v>0</v>
      </c>
      <c r="AI182" s="110">
        <f t="shared" si="41"/>
        <v>0</v>
      </c>
      <c r="AJ182" s="110">
        <f t="shared" si="41"/>
        <v>0</v>
      </c>
      <c r="AK182" s="110">
        <f t="shared" si="41"/>
        <v>0</v>
      </c>
    </row>
    <row r="183" spans="2:37">
      <c r="B183" s="113" t="s">
        <v>91</v>
      </c>
      <c r="D183" s="110"/>
      <c r="E183" s="110"/>
      <c r="F183" s="110" t="str">
        <f t="shared" si="35"/>
        <v/>
      </c>
      <c r="G183" s="110"/>
      <c r="H183" s="110"/>
      <c r="I183" s="110"/>
      <c r="J183" s="110" t="str">
        <f t="shared" si="36"/>
        <v/>
      </c>
      <c r="K183" s="110" t="str">
        <f t="shared" si="36"/>
        <v/>
      </c>
      <c r="L183" s="110" t="str">
        <f t="shared" si="36"/>
        <v/>
      </c>
      <c r="M183" s="110" t="str">
        <f t="shared" si="36"/>
        <v/>
      </c>
      <c r="N183" s="110">
        <f t="shared" si="36"/>
        <v>0</v>
      </c>
      <c r="O183" s="110">
        <f t="shared" si="36"/>
        <v>0</v>
      </c>
      <c r="P183" s="110">
        <f t="shared" si="36"/>
        <v>0</v>
      </c>
      <c r="Q183" s="110">
        <f t="shared" si="36"/>
        <v>0</v>
      </c>
      <c r="R183" s="110">
        <f t="shared" si="36"/>
        <v>0</v>
      </c>
      <c r="S183" s="110">
        <f t="shared" si="36"/>
        <v>0</v>
      </c>
      <c r="T183" s="110">
        <f t="shared" si="36"/>
        <v>0</v>
      </c>
      <c r="U183" s="110">
        <f t="shared" si="36"/>
        <v>0</v>
      </c>
      <c r="V183" s="110">
        <f t="shared" si="36"/>
        <v>0</v>
      </c>
      <c r="W183" s="110">
        <f t="shared" si="36"/>
        <v>0</v>
      </c>
      <c r="X183" s="110">
        <f t="shared" si="36"/>
        <v>0</v>
      </c>
      <c r="Y183" s="110">
        <f t="shared" si="36"/>
        <v>0</v>
      </c>
      <c r="Z183" s="110">
        <f t="shared" si="36"/>
        <v>0</v>
      </c>
      <c r="AA183" s="110">
        <f t="shared" si="36"/>
        <v>0</v>
      </c>
      <c r="AB183" s="110">
        <f t="shared" si="37"/>
        <v>0</v>
      </c>
      <c r="AC183" s="110">
        <f t="shared" si="38"/>
        <v>0</v>
      </c>
      <c r="AD183" s="110">
        <f t="shared" si="38"/>
        <v>0</v>
      </c>
      <c r="AE183" s="110">
        <f t="shared" si="39"/>
        <v>0</v>
      </c>
      <c r="AF183" s="110">
        <f t="shared" si="40"/>
        <v>0</v>
      </c>
      <c r="AG183" s="110">
        <f t="shared" si="41"/>
        <v>0</v>
      </c>
      <c r="AH183" s="110">
        <f t="shared" si="41"/>
        <v>0</v>
      </c>
      <c r="AI183" s="110">
        <f t="shared" si="41"/>
        <v>0</v>
      </c>
      <c r="AJ183" s="110">
        <f t="shared" si="41"/>
        <v>0</v>
      </c>
      <c r="AK183" s="110">
        <f t="shared" si="41"/>
        <v>0</v>
      </c>
    </row>
    <row r="184" spans="2:37">
      <c r="B184" s="113" t="s">
        <v>92</v>
      </c>
      <c r="D184" s="110"/>
      <c r="E184" s="110"/>
      <c r="F184" s="110" t="str">
        <f t="shared" si="35"/>
        <v/>
      </c>
      <c r="G184" s="110"/>
      <c r="H184" s="110"/>
      <c r="I184" s="110"/>
      <c r="J184" s="110" t="str">
        <f t="shared" si="36"/>
        <v/>
      </c>
      <c r="K184" s="110" t="str">
        <f t="shared" si="36"/>
        <v/>
      </c>
      <c r="L184" s="110" t="str">
        <f t="shared" si="36"/>
        <v/>
      </c>
      <c r="M184" s="110" t="str">
        <f t="shared" si="36"/>
        <v/>
      </c>
      <c r="N184" s="110">
        <f t="shared" si="36"/>
        <v>0</v>
      </c>
      <c r="O184" s="110">
        <f t="shared" si="36"/>
        <v>0</v>
      </c>
      <c r="P184" s="110">
        <f t="shared" si="36"/>
        <v>0</v>
      </c>
      <c r="Q184" s="110">
        <f t="shared" si="36"/>
        <v>0</v>
      </c>
      <c r="R184" s="110">
        <f t="shared" si="36"/>
        <v>0</v>
      </c>
      <c r="S184" s="110">
        <f t="shared" si="36"/>
        <v>0</v>
      </c>
      <c r="T184" s="110">
        <f t="shared" si="36"/>
        <v>0</v>
      </c>
      <c r="U184" s="110">
        <f t="shared" si="36"/>
        <v>0</v>
      </c>
      <c r="V184" s="110">
        <f t="shared" si="36"/>
        <v>0</v>
      </c>
      <c r="W184" s="110">
        <f t="shared" si="36"/>
        <v>0</v>
      </c>
      <c r="X184" s="110">
        <f t="shared" si="36"/>
        <v>0</v>
      </c>
      <c r="Y184" s="110">
        <f t="shared" si="36"/>
        <v>0</v>
      </c>
      <c r="Z184" s="110">
        <f t="shared" si="36"/>
        <v>0</v>
      </c>
      <c r="AA184" s="110">
        <f t="shared" si="36"/>
        <v>0</v>
      </c>
      <c r="AB184" s="110">
        <f t="shared" si="37"/>
        <v>0</v>
      </c>
      <c r="AC184" s="110">
        <f t="shared" si="38"/>
        <v>0</v>
      </c>
      <c r="AD184" s="110">
        <f t="shared" si="38"/>
        <v>0</v>
      </c>
      <c r="AE184" s="110">
        <f t="shared" si="39"/>
        <v>0</v>
      </c>
      <c r="AF184" s="110">
        <f t="shared" si="40"/>
        <v>0</v>
      </c>
      <c r="AG184" s="110">
        <f t="shared" si="41"/>
        <v>0</v>
      </c>
      <c r="AH184" s="110">
        <f t="shared" si="41"/>
        <v>0</v>
      </c>
      <c r="AI184" s="110">
        <f t="shared" si="41"/>
        <v>0</v>
      </c>
      <c r="AJ184" s="110">
        <f t="shared" si="41"/>
        <v>0</v>
      </c>
      <c r="AK184" s="110">
        <f t="shared" si="41"/>
        <v>0</v>
      </c>
    </row>
    <row r="185" spans="2:37">
      <c r="B185" s="113" t="s">
        <v>93</v>
      </c>
      <c r="D185" s="110"/>
      <c r="E185" s="110"/>
      <c r="F185" s="110" t="str">
        <f t="shared" si="35"/>
        <v/>
      </c>
      <c r="G185" s="110"/>
      <c r="H185" s="110"/>
      <c r="I185" s="110"/>
      <c r="J185" s="110" t="str">
        <f t="shared" si="36"/>
        <v/>
      </c>
      <c r="K185" s="110" t="str">
        <f t="shared" si="36"/>
        <v/>
      </c>
      <c r="L185" s="110" t="str">
        <f t="shared" si="36"/>
        <v/>
      </c>
      <c r="M185" s="110" t="str">
        <f t="shared" si="36"/>
        <v/>
      </c>
      <c r="N185" s="110">
        <f t="shared" si="36"/>
        <v>0</v>
      </c>
      <c r="O185" s="110">
        <f t="shared" si="36"/>
        <v>0</v>
      </c>
      <c r="P185" s="110">
        <f t="shared" si="36"/>
        <v>0</v>
      </c>
      <c r="Q185" s="110">
        <f t="shared" si="36"/>
        <v>0</v>
      </c>
      <c r="R185" s="110">
        <f t="shared" si="36"/>
        <v>0</v>
      </c>
      <c r="S185" s="110">
        <f t="shared" si="36"/>
        <v>0</v>
      </c>
      <c r="T185" s="110">
        <f t="shared" si="36"/>
        <v>0</v>
      </c>
      <c r="U185" s="110">
        <f t="shared" si="36"/>
        <v>0</v>
      </c>
      <c r="V185" s="110">
        <f t="shared" si="36"/>
        <v>0</v>
      </c>
      <c r="W185" s="110">
        <f t="shared" si="36"/>
        <v>0</v>
      </c>
      <c r="X185" s="110">
        <f t="shared" si="36"/>
        <v>0</v>
      </c>
      <c r="Y185" s="110">
        <f t="shared" si="36"/>
        <v>0</v>
      </c>
      <c r="Z185" s="110">
        <f t="shared" si="36"/>
        <v>0</v>
      </c>
      <c r="AA185" s="110">
        <f t="shared" si="36"/>
        <v>0</v>
      </c>
      <c r="AB185" s="110">
        <f t="shared" si="37"/>
        <v>0</v>
      </c>
      <c r="AC185" s="110">
        <f t="shared" si="38"/>
        <v>0</v>
      </c>
      <c r="AD185" s="110">
        <f t="shared" si="38"/>
        <v>0</v>
      </c>
      <c r="AE185" s="110">
        <f t="shared" si="39"/>
        <v>0</v>
      </c>
      <c r="AF185" s="110">
        <f t="shared" si="40"/>
        <v>0</v>
      </c>
      <c r="AG185" s="110">
        <f t="shared" si="41"/>
        <v>0</v>
      </c>
      <c r="AH185" s="110">
        <f t="shared" si="41"/>
        <v>0</v>
      </c>
      <c r="AI185" s="110">
        <f t="shared" si="41"/>
        <v>0</v>
      </c>
      <c r="AJ185" s="110">
        <f t="shared" si="41"/>
        <v>0</v>
      </c>
      <c r="AK185" s="110">
        <f t="shared" si="41"/>
        <v>0</v>
      </c>
    </row>
    <row r="186" spans="2:37">
      <c r="B186" s="113" t="s">
        <v>94</v>
      </c>
      <c r="D186" s="110"/>
      <c r="E186" s="110"/>
      <c r="F186" s="110" t="str">
        <f t="shared" si="35"/>
        <v/>
      </c>
      <c r="G186" s="110"/>
      <c r="H186" s="110"/>
      <c r="I186" s="110"/>
      <c r="J186" s="110" t="str">
        <f t="shared" si="36"/>
        <v/>
      </c>
      <c r="K186" s="110" t="str">
        <f t="shared" si="36"/>
        <v/>
      </c>
      <c r="L186" s="110" t="str">
        <f t="shared" si="36"/>
        <v/>
      </c>
      <c r="M186" s="110" t="str">
        <f t="shared" si="36"/>
        <v/>
      </c>
      <c r="N186" s="110">
        <f t="shared" si="36"/>
        <v>0</v>
      </c>
      <c r="O186" s="110">
        <f t="shared" si="36"/>
        <v>0</v>
      </c>
      <c r="P186" s="110">
        <f t="shared" si="36"/>
        <v>0</v>
      </c>
      <c r="Q186" s="110">
        <f t="shared" si="36"/>
        <v>0</v>
      </c>
      <c r="R186" s="110">
        <f t="shared" si="36"/>
        <v>0</v>
      </c>
      <c r="S186" s="110">
        <f t="shared" si="36"/>
        <v>0</v>
      </c>
      <c r="T186" s="110">
        <f t="shared" si="36"/>
        <v>0</v>
      </c>
      <c r="U186" s="110">
        <f t="shared" si="36"/>
        <v>0</v>
      </c>
      <c r="V186" s="110">
        <f t="shared" si="36"/>
        <v>0</v>
      </c>
      <c r="W186" s="110">
        <f t="shared" si="36"/>
        <v>0</v>
      </c>
      <c r="X186" s="110">
        <f t="shared" si="36"/>
        <v>0</v>
      </c>
      <c r="Y186" s="110">
        <f t="shared" si="36"/>
        <v>0</v>
      </c>
      <c r="Z186" s="110">
        <f t="shared" si="36"/>
        <v>0</v>
      </c>
      <c r="AA186" s="110">
        <f t="shared" si="36"/>
        <v>0</v>
      </c>
      <c r="AB186" s="110">
        <f t="shared" si="37"/>
        <v>0</v>
      </c>
      <c r="AC186" s="110">
        <f t="shared" si="38"/>
        <v>0</v>
      </c>
      <c r="AD186" s="110">
        <f t="shared" si="38"/>
        <v>0</v>
      </c>
      <c r="AE186" s="110">
        <f t="shared" si="39"/>
        <v>0</v>
      </c>
      <c r="AF186" s="110">
        <f t="shared" si="40"/>
        <v>0</v>
      </c>
      <c r="AG186" s="110">
        <f t="shared" si="41"/>
        <v>0</v>
      </c>
      <c r="AH186" s="110">
        <f t="shared" si="41"/>
        <v>0</v>
      </c>
      <c r="AI186" s="110">
        <f t="shared" si="41"/>
        <v>0</v>
      </c>
      <c r="AJ186" s="110">
        <f t="shared" si="41"/>
        <v>0</v>
      </c>
      <c r="AK186" s="110">
        <f t="shared" si="41"/>
        <v>0</v>
      </c>
    </row>
    <row r="187" spans="2:37">
      <c r="B187" s="113" t="s">
        <v>95</v>
      </c>
      <c r="D187" s="110"/>
      <c r="E187" s="110"/>
      <c r="F187" s="110" t="str">
        <f t="shared" si="35"/>
        <v/>
      </c>
      <c r="G187" s="110"/>
      <c r="H187" s="110"/>
      <c r="I187" s="110"/>
      <c r="J187" s="110" t="str">
        <f t="shared" si="36"/>
        <v/>
      </c>
      <c r="K187" s="110" t="str">
        <f t="shared" si="36"/>
        <v/>
      </c>
      <c r="L187" s="110" t="str">
        <f t="shared" si="36"/>
        <v/>
      </c>
      <c r="M187" s="110" t="str">
        <f t="shared" si="36"/>
        <v/>
      </c>
      <c r="N187" s="110">
        <f t="shared" si="36"/>
        <v>0</v>
      </c>
      <c r="O187" s="110">
        <f t="shared" si="36"/>
        <v>0</v>
      </c>
      <c r="P187" s="110">
        <f t="shared" si="36"/>
        <v>0</v>
      </c>
      <c r="Q187" s="110">
        <f t="shared" si="36"/>
        <v>0</v>
      </c>
      <c r="R187" s="110">
        <f t="shared" si="36"/>
        <v>0</v>
      </c>
      <c r="S187" s="110">
        <f t="shared" si="36"/>
        <v>0</v>
      </c>
      <c r="T187" s="110">
        <f t="shared" si="36"/>
        <v>0</v>
      </c>
      <c r="U187" s="110">
        <f t="shared" si="36"/>
        <v>0</v>
      </c>
      <c r="V187" s="110">
        <f t="shared" si="36"/>
        <v>0</v>
      </c>
      <c r="W187" s="110">
        <f t="shared" si="36"/>
        <v>0</v>
      </c>
      <c r="X187" s="110">
        <f t="shared" si="36"/>
        <v>0</v>
      </c>
      <c r="Y187" s="110">
        <f t="shared" si="36"/>
        <v>0</v>
      </c>
      <c r="Z187" s="110">
        <f t="shared" si="36"/>
        <v>0</v>
      </c>
      <c r="AA187" s="110">
        <f t="shared" si="36"/>
        <v>0</v>
      </c>
      <c r="AB187" s="110">
        <f t="shared" si="37"/>
        <v>0</v>
      </c>
      <c r="AC187" s="110">
        <f t="shared" si="38"/>
        <v>0</v>
      </c>
      <c r="AD187" s="110">
        <f t="shared" si="38"/>
        <v>0</v>
      </c>
      <c r="AE187" s="110">
        <f t="shared" si="39"/>
        <v>0</v>
      </c>
      <c r="AF187" s="110">
        <f t="shared" si="40"/>
        <v>0</v>
      </c>
      <c r="AG187" s="110">
        <f t="shared" si="41"/>
        <v>0</v>
      </c>
      <c r="AH187" s="110">
        <f t="shared" si="41"/>
        <v>0</v>
      </c>
      <c r="AI187" s="110">
        <f t="shared" si="41"/>
        <v>0</v>
      </c>
      <c r="AJ187" s="110">
        <f t="shared" si="41"/>
        <v>0</v>
      </c>
      <c r="AK187" s="110">
        <f t="shared" si="41"/>
        <v>0</v>
      </c>
    </row>
    <row r="188" spans="2:37">
      <c r="B188" s="113" t="s">
        <v>96</v>
      </c>
      <c r="D188" s="110"/>
      <c r="E188" s="110"/>
      <c r="F188" s="110" t="str">
        <f t="shared" si="35"/>
        <v/>
      </c>
      <c r="G188" s="110"/>
      <c r="H188" s="110"/>
      <c r="I188" s="110"/>
      <c r="J188" s="110" t="str">
        <f t="shared" si="36"/>
        <v/>
      </c>
      <c r="K188" s="110" t="str">
        <f t="shared" si="36"/>
        <v/>
      </c>
      <c r="L188" s="110" t="str">
        <f t="shared" si="36"/>
        <v/>
      </c>
      <c r="M188" s="110" t="str">
        <f t="shared" si="36"/>
        <v/>
      </c>
      <c r="N188" s="110">
        <f t="shared" si="36"/>
        <v>0</v>
      </c>
      <c r="O188" s="110">
        <f t="shared" si="36"/>
        <v>0</v>
      </c>
      <c r="P188" s="110">
        <f t="shared" si="36"/>
        <v>0</v>
      </c>
      <c r="Q188" s="110">
        <f t="shared" si="36"/>
        <v>0</v>
      </c>
      <c r="R188" s="110">
        <f t="shared" si="36"/>
        <v>0</v>
      </c>
      <c r="S188" s="110">
        <f t="shared" si="36"/>
        <v>0</v>
      </c>
      <c r="T188" s="110">
        <f t="shared" si="36"/>
        <v>0</v>
      </c>
      <c r="U188" s="110">
        <f t="shared" si="36"/>
        <v>0</v>
      </c>
      <c r="V188" s="110">
        <f t="shared" si="36"/>
        <v>0</v>
      </c>
      <c r="W188" s="110">
        <f t="shared" si="36"/>
        <v>0</v>
      </c>
      <c r="X188" s="110">
        <f t="shared" si="36"/>
        <v>0</v>
      </c>
      <c r="Y188" s="110">
        <f t="shared" si="36"/>
        <v>0</v>
      </c>
      <c r="Z188" s="110">
        <f t="shared" si="36"/>
        <v>0</v>
      </c>
      <c r="AA188" s="110">
        <f t="shared" si="36"/>
        <v>0</v>
      </c>
      <c r="AB188" s="110">
        <f t="shared" si="37"/>
        <v>0</v>
      </c>
      <c r="AC188" s="110">
        <f t="shared" si="38"/>
        <v>0</v>
      </c>
      <c r="AD188" s="110">
        <f t="shared" si="38"/>
        <v>0</v>
      </c>
      <c r="AE188" s="110">
        <f t="shared" si="39"/>
        <v>0</v>
      </c>
      <c r="AF188" s="110">
        <f t="shared" si="40"/>
        <v>0</v>
      </c>
      <c r="AG188" s="110">
        <f t="shared" si="41"/>
        <v>0</v>
      </c>
      <c r="AH188" s="110">
        <f t="shared" si="41"/>
        <v>0</v>
      </c>
      <c r="AI188" s="110">
        <f t="shared" si="41"/>
        <v>0</v>
      </c>
      <c r="AJ188" s="110">
        <f t="shared" si="41"/>
        <v>0</v>
      </c>
      <c r="AK188" s="110">
        <f t="shared" si="41"/>
        <v>0</v>
      </c>
    </row>
    <row r="189" spans="2:37">
      <c r="B189" s="113" t="s">
        <v>97</v>
      </c>
      <c r="D189" s="110"/>
      <c r="E189" s="110"/>
      <c r="F189" s="110" t="str">
        <f t="shared" si="35"/>
        <v/>
      </c>
      <c r="G189" s="110"/>
      <c r="H189" s="110"/>
      <c r="I189" s="110"/>
      <c r="J189" s="110" t="str">
        <f t="shared" si="36"/>
        <v/>
      </c>
      <c r="K189" s="110" t="str">
        <f t="shared" si="36"/>
        <v/>
      </c>
      <c r="L189" s="110" t="str">
        <f t="shared" si="36"/>
        <v/>
      </c>
      <c r="M189" s="110" t="str">
        <f t="shared" si="36"/>
        <v/>
      </c>
      <c r="N189" s="110">
        <f t="shared" si="36"/>
        <v>0</v>
      </c>
      <c r="O189" s="110">
        <f t="shared" si="36"/>
        <v>0</v>
      </c>
      <c r="P189" s="110">
        <f t="shared" si="36"/>
        <v>0</v>
      </c>
      <c r="Q189" s="110">
        <f t="shared" si="36"/>
        <v>0</v>
      </c>
      <c r="R189" s="110">
        <f t="shared" si="36"/>
        <v>0</v>
      </c>
      <c r="S189" s="110">
        <f t="shared" si="36"/>
        <v>0</v>
      </c>
      <c r="T189" s="110">
        <f t="shared" si="36"/>
        <v>0</v>
      </c>
      <c r="U189" s="110">
        <f t="shared" si="36"/>
        <v>0</v>
      </c>
      <c r="V189" s="110">
        <f t="shared" si="36"/>
        <v>0</v>
      </c>
      <c r="W189" s="110">
        <f t="shared" si="36"/>
        <v>0</v>
      </c>
      <c r="X189" s="110">
        <f t="shared" si="36"/>
        <v>0</v>
      </c>
      <c r="Y189" s="110">
        <f t="shared" si="36"/>
        <v>0</v>
      </c>
      <c r="Z189" s="110">
        <f t="shared" si="36"/>
        <v>0</v>
      </c>
      <c r="AA189" s="110">
        <f t="shared" si="36"/>
        <v>0</v>
      </c>
      <c r="AB189" s="110">
        <f t="shared" si="37"/>
        <v>0</v>
      </c>
      <c r="AC189" s="110">
        <f t="shared" si="38"/>
        <v>0</v>
      </c>
      <c r="AD189" s="110">
        <f t="shared" si="38"/>
        <v>0</v>
      </c>
      <c r="AE189" s="110">
        <f t="shared" si="39"/>
        <v>0</v>
      </c>
      <c r="AF189" s="110">
        <f t="shared" si="40"/>
        <v>0</v>
      </c>
      <c r="AG189" s="110">
        <f t="shared" si="41"/>
        <v>0</v>
      </c>
      <c r="AH189" s="110">
        <f t="shared" si="41"/>
        <v>0</v>
      </c>
      <c r="AI189" s="110">
        <f t="shared" si="41"/>
        <v>0</v>
      </c>
      <c r="AJ189" s="110">
        <f t="shared" si="41"/>
        <v>0</v>
      </c>
      <c r="AK189" s="110">
        <f t="shared" si="41"/>
        <v>0</v>
      </c>
    </row>
    <row r="190" spans="2:37">
      <c r="B190" s="113" t="s">
        <v>98</v>
      </c>
      <c r="D190" s="110"/>
      <c r="E190" s="110"/>
      <c r="F190" s="110" t="str">
        <f t="shared" si="35"/>
        <v/>
      </c>
      <c r="G190" s="110"/>
      <c r="H190" s="110"/>
      <c r="I190" s="110"/>
      <c r="J190" s="110" t="str">
        <f t="shared" si="36"/>
        <v/>
      </c>
      <c r="K190" s="110" t="str">
        <f t="shared" si="36"/>
        <v/>
      </c>
      <c r="L190" s="110" t="str">
        <f t="shared" si="36"/>
        <v/>
      </c>
      <c r="M190" s="110" t="str">
        <f t="shared" si="36"/>
        <v/>
      </c>
      <c r="N190" s="110">
        <f t="shared" si="36"/>
        <v>0</v>
      </c>
      <c r="O190" s="110">
        <f t="shared" si="36"/>
        <v>0</v>
      </c>
      <c r="P190" s="110">
        <f t="shared" si="36"/>
        <v>0</v>
      </c>
      <c r="Q190" s="110">
        <f t="shared" si="36"/>
        <v>0</v>
      </c>
      <c r="R190" s="110">
        <f t="shared" si="36"/>
        <v>0</v>
      </c>
      <c r="S190" s="110">
        <f t="shared" si="36"/>
        <v>0</v>
      </c>
      <c r="T190" s="110">
        <f t="shared" si="36"/>
        <v>0</v>
      </c>
      <c r="U190" s="110">
        <f t="shared" si="36"/>
        <v>0</v>
      </c>
      <c r="V190" s="110">
        <f t="shared" si="36"/>
        <v>0</v>
      </c>
      <c r="W190" s="110">
        <f t="shared" si="36"/>
        <v>0</v>
      </c>
      <c r="X190" s="110">
        <f t="shared" si="36"/>
        <v>0</v>
      </c>
      <c r="Y190" s="110">
        <f t="shared" si="36"/>
        <v>0</v>
      </c>
      <c r="Z190" s="110">
        <f t="shared" si="36"/>
        <v>0</v>
      </c>
      <c r="AA190" s="110">
        <f t="shared" si="36"/>
        <v>0</v>
      </c>
      <c r="AB190" s="110">
        <f t="shared" si="37"/>
        <v>0</v>
      </c>
      <c r="AC190" s="110">
        <f t="shared" si="38"/>
        <v>0</v>
      </c>
      <c r="AD190" s="110">
        <f t="shared" si="38"/>
        <v>0</v>
      </c>
      <c r="AE190" s="110">
        <f t="shared" si="39"/>
        <v>0</v>
      </c>
      <c r="AF190" s="110">
        <f t="shared" si="40"/>
        <v>0</v>
      </c>
      <c r="AG190" s="110">
        <f t="shared" si="41"/>
        <v>0</v>
      </c>
      <c r="AH190" s="110">
        <f t="shared" si="41"/>
        <v>0</v>
      </c>
      <c r="AI190" s="110">
        <f t="shared" si="41"/>
        <v>0</v>
      </c>
      <c r="AJ190" s="110">
        <f t="shared" si="41"/>
        <v>0</v>
      </c>
      <c r="AK190" s="110">
        <f t="shared" si="41"/>
        <v>0</v>
      </c>
    </row>
    <row r="191" spans="2:37">
      <c r="B191" s="113" t="s">
        <v>99</v>
      </c>
      <c r="D191" s="110"/>
      <c r="E191" s="110"/>
      <c r="F191" s="110" t="str">
        <f t="shared" si="35"/>
        <v/>
      </c>
      <c r="G191" s="110"/>
      <c r="H191" s="110"/>
      <c r="I191" s="110"/>
      <c r="J191" s="110" t="str">
        <f t="shared" si="36"/>
        <v/>
      </c>
      <c r="K191" s="110" t="str">
        <f t="shared" si="36"/>
        <v/>
      </c>
      <c r="L191" s="110" t="str">
        <f t="shared" si="36"/>
        <v/>
      </c>
      <c r="M191" s="110" t="str">
        <f t="shared" si="36"/>
        <v/>
      </c>
      <c r="N191" s="110">
        <f t="shared" si="36"/>
        <v>0</v>
      </c>
      <c r="O191" s="110">
        <f t="shared" si="36"/>
        <v>0</v>
      </c>
      <c r="P191" s="110">
        <f t="shared" si="36"/>
        <v>0</v>
      </c>
      <c r="Q191" s="110">
        <f t="shared" si="36"/>
        <v>0</v>
      </c>
      <c r="R191" s="110">
        <f t="shared" si="36"/>
        <v>0</v>
      </c>
      <c r="S191" s="110">
        <f t="shared" si="36"/>
        <v>0</v>
      </c>
      <c r="T191" s="110">
        <f t="shared" si="36"/>
        <v>0</v>
      </c>
      <c r="U191" s="110">
        <f t="shared" si="36"/>
        <v>0</v>
      </c>
      <c r="V191" s="110">
        <f t="shared" si="36"/>
        <v>0</v>
      </c>
      <c r="W191" s="110">
        <f t="shared" si="36"/>
        <v>0</v>
      </c>
      <c r="X191" s="110">
        <f t="shared" si="36"/>
        <v>0</v>
      </c>
      <c r="Y191" s="110">
        <f t="shared" si="36"/>
        <v>0</v>
      </c>
      <c r="Z191" s="110">
        <f t="shared" si="36"/>
        <v>0</v>
      </c>
      <c r="AA191" s="110">
        <f t="shared" si="36"/>
        <v>0</v>
      </c>
      <c r="AB191" s="110">
        <f t="shared" si="37"/>
        <v>0</v>
      </c>
      <c r="AC191" s="110">
        <f t="shared" si="38"/>
        <v>0</v>
      </c>
      <c r="AD191" s="110">
        <f t="shared" si="38"/>
        <v>0</v>
      </c>
      <c r="AE191" s="110">
        <f t="shared" si="39"/>
        <v>0</v>
      </c>
      <c r="AF191" s="110">
        <f t="shared" si="40"/>
        <v>0</v>
      </c>
      <c r="AG191" s="110">
        <f t="shared" si="41"/>
        <v>0</v>
      </c>
      <c r="AH191" s="110">
        <f t="shared" si="41"/>
        <v>0</v>
      </c>
      <c r="AI191" s="110">
        <f t="shared" si="41"/>
        <v>0</v>
      </c>
      <c r="AJ191" s="110">
        <f t="shared" si="41"/>
        <v>0</v>
      </c>
      <c r="AK191" s="110">
        <f t="shared" si="41"/>
        <v>0</v>
      </c>
    </row>
    <row r="192" spans="2:37">
      <c r="B192" s="113" t="s">
        <v>100</v>
      </c>
      <c r="D192" s="110"/>
      <c r="E192" s="110"/>
      <c r="F192" s="110" t="str">
        <f t="shared" si="35"/>
        <v/>
      </c>
      <c r="G192" s="110"/>
      <c r="H192" s="110"/>
      <c r="I192" s="110"/>
      <c r="J192" s="110" t="str">
        <f t="shared" si="36"/>
        <v/>
      </c>
      <c r="K192" s="110" t="str">
        <f t="shared" si="36"/>
        <v/>
      </c>
      <c r="L192" s="110" t="str">
        <f t="shared" si="36"/>
        <v/>
      </c>
      <c r="M192" s="110" t="str">
        <f t="shared" si="36"/>
        <v/>
      </c>
      <c r="N192" s="110">
        <f t="shared" si="36"/>
        <v>0</v>
      </c>
      <c r="O192" s="110">
        <f t="shared" si="36"/>
        <v>0</v>
      </c>
      <c r="P192" s="110">
        <f t="shared" si="36"/>
        <v>0</v>
      </c>
      <c r="Q192" s="110">
        <f t="shared" si="36"/>
        <v>0</v>
      </c>
      <c r="R192" s="110">
        <f t="shared" si="36"/>
        <v>0</v>
      </c>
      <c r="S192" s="110">
        <f t="shared" si="36"/>
        <v>0</v>
      </c>
      <c r="T192" s="110">
        <f t="shared" si="36"/>
        <v>0</v>
      </c>
      <c r="U192" s="110">
        <f t="shared" si="36"/>
        <v>0</v>
      </c>
      <c r="V192" s="110">
        <f t="shared" si="36"/>
        <v>0</v>
      </c>
      <c r="W192" s="110">
        <f t="shared" si="36"/>
        <v>0</v>
      </c>
      <c r="X192" s="110">
        <f t="shared" si="36"/>
        <v>0</v>
      </c>
      <c r="Y192" s="110">
        <f t="shared" si="36"/>
        <v>0</v>
      </c>
      <c r="Z192" s="110">
        <f t="shared" si="36"/>
        <v>0</v>
      </c>
      <c r="AA192" s="110">
        <f t="shared" si="36"/>
        <v>0</v>
      </c>
      <c r="AB192" s="110">
        <f t="shared" si="37"/>
        <v>0</v>
      </c>
      <c r="AC192" s="110">
        <f t="shared" si="38"/>
        <v>0</v>
      </c>
      <c r="AD192" s="110">
        <f t="shared" si="38"/>
        <v>0</v>
      </c>
      <c r="AE192" s="110">
        <f t="shared" si="39"/>
        <v>0</v>
      </c>
      <c r="AF192" s="110">
        <f t="shared" si="40"/>
        <v>0</v>
      </c>
      <c r="AG192" s="110">
        <f t="shared" si="41"/>
        <v>0</v>
      </c>
      <c r="AH192" s="110">
        <f t="shared" si="41"/>
        <v>0</v>
      </c>
      <c r="AI192" s="110">
        <f t="shared" si="41"/>
        <v>0</v>
      </c>
      <c r="AJ192" s="110">
        <f t="shared" si="41"/>
        <v>0</v>
      </c>
      <c r="AK192" s="110">
        <f t="shared" si="41"/>
        <v>0</v>
      </c>
    </row>
    <row r="193" spans="2:37">
      <c r="B193" s="114" t="s">
        <v>101</v>
      </c>
      <c r="C193" s="1" t="s">
        <v>50</v>
      </c>
      <c r="D193" s="110" t="s">
        <v>36</v>
      </c>
      <c r="E193" s="110"/>
      <c r="F193" s="110" t="str">
        <f t="shared" si="35"/>
        <v/>
      </c>
      <c r="G193" s="110"/>
      <c r="H193" s="110"/>
      <c r="I193" s="110"/>
      <c r="J193" s="110" t="str">
        <f t="shared" si="36"/>
        <v/>
      </c>
      <c r="K193" s="110" t="str">
        <f t="shared" si="36"/>
        <v/>
      </c>
      <c r="L193" s="110" t="str">
        <f t="shared" si="36"/>
        <v/>
      </c>
      <c r="M193" s="110" t="str">
        <f t="shared" si="36"/>
        <v/>
      </c>
      <c r="N193" s="110">
        <f t="shared" si="36"/>
        <v>0</v>
      </c>
      <c r="O193" s="110">
        <f t="shared" si="36"/>
        <v>0</v>
      </c>
      <c r="P193" s="110">
        <f t="shared" si="36"/>
        <v>0</v>
      </c>
      <c r="Q193" s="110">
        <f t="shared" si="36"/>
        <v>0</v>
      </c>
      <c r="R193" s="110">
        <f t="shared" si="36"/>
        <v>0</v>
      </c>
      <c r="S193" s="110">
        <f t="shared" si="36"/>
        <v>0</v>
      </c>
      <c r="T193" s="110">
        <f t="shared" si="36"/>
        <v>0</v>
      </c>
      <c r="U193" s="110">
        <f t="shared" si="36"/>
        <v>0</v>
      </c>
      <c r="V193" s="110">
        <f t="shared" si="36"/>
        <v>0</v>
      </c>
      <c r="W193" s="110">
        <f t="shared" si="36"/>
        <v>0</v>
      </c>
      <c r="X193" s="110">
        <f t="shared" si="36"/>
        <v>0</v>
      </c>
      <c r="Y193" s="110">
        <f t="shared" si="36"/>
        <v>0</v>
      </c>
      <c r="Z193" s="110">
        <f t="shared" si="36"/>
        <v>0</v>
      </c>
      <c r="AA193" s="110">
        <f t="shared" si="36"/>
        <v>0</v>
      </c>
      <c r="AB193" s="110">
        <f t="shared" si="37"/>
        <v>0</v>
      </c>
      <c r="AC193" s="110">
        <f t="shared" si="38"/>
        <v>0</v>
      </c>
      <c r="AD193" s="110">
        <f t="shared" si="38"/>
        <v>0</v>
      </c>
      <c r="AE193" s="110">
        <f t="shared" si="39"/>
        <v>0</v>
      </c>
      <c r="AF193" s="110">
        <f t="shared" si="40"/>
        <v>0</v>
      </c>
      <c r="AG193" s="110">
        <f t="shared" si="41"/>
        <v>0</v>
      </c>
      <c r="AH193" s="110">
        <f t="shared" si="41"/>
        <v>0</v>
      </c>
      <c r="AI193" s="110">
        <f t="shared" si="41"/>
        <v>0</v>
      </c>
      <c r="AJ193" s="110">
        <f t="shared" si="41"/>
        <v>0</v>
      </c>
      <c r="AK193" s="110">
        <f t="shared" si="41"/>
        <v>0</v>
      </c>
    </row>
    <row r="194" spans="2:37">
      <c r="B194" s="114" t="s">
        <v>102</v>
      </c>
      <c r="C194" s="1" t="s">
        <v>50</v>
      </c>
      <c r="D194" s="110" t="s">
        <v>36</v>
      </c>
      <c r="E194" s="110"/>
      <c r="F194" s="110" t="str">
        <f t="shared" si="35"/>
        <v/>
      </c>
      <c r="G194" s="110"/>
      <c r="H194" s="110"/>
      <c r="I194" s="110"/>
      <c r="J194" s="110" t="str">
        <f t="shared" si="36"/>
        <v/>
      </c>
      <c r="K194" s="110" t="str">
        <f t="shared" si="36"/>
        <v/>
      </c>
      <c r="L194" s="110" t="str">
        <f t="shared" si="36"/>
        <v/>
      </c>
      <c r="M194" s="110" t="str">
        <f t="shared" si="36"/>
        <v/>
      </c>
      <c r="N194" s="110">
        <f t="shared" si="36"/>
        <v>0</v>
      </c>
      <c r="O194" s="110">
        <f t="shared" si="36"/>
        <v>0</v>
      </c>
      <c r="P194" s="110">
        <f t="shared" si="36"/>
        <v>0</v>
      </c>
      <c r="Q194" s="110">
        <f t="shared" si="36"/>
        <v>0</v>
      </c>
      <c r="R194" s="110">
        <f t="shared" si="36"/>
        <v>0</v>
      </c>
      <c r="S194" s="110">
        <f t="shared" si="36"/>
        <v>0</v>
      </c>
      <c r="T194" s="110">
        <f t="shared" si="36"/>
        <v>0</v>
      </c>
      <c r="U194" s="110">
        <f t="shared" si="36"/>
        <v>0</v>
      </c>
      <c r="V194" s="110">
        <f t="shared" si="36"/>
        <v>0</v>
      </c>
      <c r="W194" s="110">
        <f t="shared" si="36"/>
        <v>0</v>
      </c>
      <c r="X194" s="110">
        <f t="shared" si="36"/>
        <v>0</v>
      </c>
      <c r="Y194" s="110">
        <f t="shared" si="36"/>
        <v>0</v>
      </c>
      <c r="Z194" s="110">
        <f t="shared" si="36"/>
        <v>0</v>
      </c>
      <c r="AA194" s="110">
        <f t="shared" si="36"/>
        <v>0</v>
      </c>
      <c r="AB194" s="110">
        <f t="shared" si="37"/>
        <v>0</v>
      </c>
      <c r="AC194" s="110">
        <f t="shared" si="38"/>
        <v>0</v>
      </c>
      <c r="AD194" s="110">
        <f t="shared" si="38"/>
        <v>0</v>
      </c>
      <c r="AE194" s="110">
        <f t="shared" si="39"/>
        <v>0</v>
      </c>
      <c r="AF194" s="110">
        <f t="shared" si="40"/>
        <v>0</v>
      </c>
      <c r="AG194" s="110">
        <f t="shared" si="41"/>
        <v>0</v>
      </c>
      <c r="AH194" s="110">
        <f t="shared" si="41"/>
        <v>0</v>
      </c>
      <c r="AI194" s="110">
        <f t="shared" si="41"/>
        <v>0</v>
      </c>
      <c r="AJ194" s="110">
        <f t="shared" si="41"/>
        <v>0</v>
      </c>
      <c r="AK194" s="110">
        <f t="shared" si="41"/>
        <v>0</v>
      </c>
    </row>
    <row r="195" spans="2:37">
      <c r="B195" s="114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</row>
    <row r="196" spans="2:37">
      <c r="B196" s="109" t="s">
        <v>103</v>
      </c>
      <c r="C196" s="1" t="s">
        <v>104</v>
      </c>
      <c r="D196" s="110" t="s">
        <v>105</v>
      </c>
      <c r="E196" s="110"/>
      <c r="F196" s="110" t="str">
        <f t="shared" ref="F196:F202" si="42">IF(SUM(J196:AK196)&gt;0,SUM(J196:AK196),"")</f>
        <v/>
      </c>
      <c r="G196" s="110"/>
      <c r="H196" s="110"/>
      <c r="I196" s="110"/>
      <c r="J196" s="110" t="str">
        <f t="shared" ref="J196:AA199" si="43">IF(ISNUMBER(J73),J73*J$24,"")</f>
        <v/>
      </c>
      <c r="K196" s="110" t="str">
        <f t="shared" si="43"/>
        <v/>
      </c>
      <c r="L196" s="110" t="str">
        <f t="shared" si="43"/>
        <v/>
      </c>
      <c r="M196" s="110" t="str">
        <f t="shared" si="43"/>
        <v/>
      </c>
      <c r="N196" s="110">
        <f t="shared" si="43"/>
        <v>0</v>
      </c>
      <c r="O196" s="110">
        <f t="shared" si="43"/>
        <v>0</v>
      </c>
      <c r="P196" s="110">
        <f t="shared" si="43"/>
        <v>0</v>
      </c>
      <c r="Q196" s="110">
        <f t="shared" si="43"/>
        <v>0</v>
      </c>
      <c r="R196" s="110">
        <f t="shared" si="43"/>
        <v>0</v>
      </c>
      <c r="S196" s="110">
        <f t="shared" si="43"/>
        <v>0</v>
      </c>
      <c r="T196" s="110">
        <f t="shared" si="43"/>
        <v>0</v>
      </c>
      <c r="U196" s="110">
        <f t="shared" si="43"/>
        <v>0</v>
      </c>
      <c r="V196" s="110">
        <f t="shared" si="43"/>
        <v>0</v>
      </c>
      <c r="W196" s="110">
        <f t="shared" si="43"/>
        <v>0</v>
      </c>
      <c r="X196" s="110">
        <f t="shared" si="43"/>
        <v>0</v>
      </c>
      <c r="Y196" s="110">
        <f t="shared" si="43"/>
        <v>0</v>
      </c>
      <c r="Z196" s="110">
        <f t="shared" si="43"/>
        <v>0</v>
      </c>
      <c r="AA196" s="110">
        <f t="shared" si="43"/>
        <v>0</v>
      </c>
      <c r="AB196" s="110">
        <f>IF(ISNUMBER(AB73),AB73*AE$24,"")</f>
        <v>0</v>
      </c>
      <c r="AC196" s="110">
        <f t="shared" ref="AC196:AD199" si="44">IF(ISNUMBER(AC73),AC73*AB$24,"")</f>
        <v>0</v>
      </c>
      <c r="AD196" s="110">
        <f t="shared" si="44"/>
        <v>0</v>
      </c>
      <c r="AE196" s="110">
        <f>IF(ISNUMBER(AE73),AE73*AF$24,"")</f>
        <v>0</v>
      </c>
      <c r="AF196" s="110">
        <f>IF(ISNUMBER(AF73),AF73*AD$24,"")</f>
        <v>0</v>
      </c>
      <c r="AG196" s="110">
        <f t="shared" ref="AG196:AK199" si="45">IF(ISNUMBER(AG73),AG73*AG$24,"")</f>
        <v>0</v>
      </c>
      <c r="AH196" s="110">
        <f t="shared" si="45"/>
        <v>0</v>
      </c>
      <c r="AI196" s="110">
        <f t="shared" si="45"/>
        <v>0</v>
      </c>
      <c r="AJ196" s="110">
        <f t="shared" si="45"/>
        <v>0</v>
      </c>
      <c r="AK196" s="110">
        <f t="shared" si="45"/>
        <v>0</v>
      </c>
    </row>
    <row r="197" spans="2:37">
      <c r="B197" s="109" t="s">
        <v>106</v>
      </c>
      <c r="C197" s="1" t="s">
        <v>129</v>
      </c>
      <c r="D197" s="110" t="s">
        <v>59</v>
      </c>
      <c r="E197" s="110"/>
      <c r="F197" s="110" t="str">
        <f t="shared" si="42"/>
        <v/>
      </c>
      <c r="G197" s="110"/>
      <c r="H197" s="110"/>
      <c r="I197" s="110"/>
      <c r="J197" s="110" t="str">
        <f t="shared" si="43"/>
        <v/>
      </c>
      <c r="K197" s="110" t="str">
        <f t="shared" si="43"/>
        <v/>
      </c>
      <c r="L197" s="110" t="str">
        <f t="shared" si="43"/>
        <v/>
      </c>
      <c r="M197" s="110" t="str">
        <f t="shared" si="43"/>
        <v/>
      </c>
      <c r="N197" s="110">
        <f t="shared" si="43"/>
        <v>0</v>
      </c>
      <c r="O197" s="110">
        <f t="shared" si="43"/>
        <v>0</v>
      </c>
      <c r="P197" s="110">
        <f t="shared" si="43"/>
        <v>0</v>
      </c>
      <c r="Q197" s="110">
        <f t="shared" si="43"/>
        <v>0</v>
      </c>
      <c r="R197" s="110">
        <f t="shared" si="43"/>
        <v>0</v>
      </c>
      <c r="S197" s="110">
        <f t="shared" si="43"/>
        <v>0</v>
      </c>
      <c r="T197" s="110">
        <f t="shared" si="43"/>
        <v>0</v>
      </c>
      <c r="U197" s="110">
        <f t="shared" si="43"/>
        <v>0</v>
      </c>
      <c r="V197" s="110">
        <f t="shared" si="43"/>
        <v>0</v>
      </c>
      <c r="W197" s="110">
        <f t="shared" si="43"/>
        <v>0</v>
      </c>
      <c r="X197" s="110">
        <f t="shared" si="43"/>
        <v>0</v>
      </c>
      <c r="Y197" s="110">
        <f t="shared" si="43"/>
        <v>0</v>
      </c>
      <c r="Z197" s="110">
        <f t="shared" si="43"/>
        <v>0</v>
      </c>
      <c r="AA197" s="110">
        <f t="shared" si="43"/>
        <v>0</v>
      </c>
      <c r="AB197" s="110">
        <f>IF(ISNUMBER(AB74),AB74*AE$24,"")</f>
        <v>0</v>
      </c>
      <c r="AC197" s="110">
        <f t="shared" si="44"/>
        <v>0</v>
      </c>
      <c r="AD197" s="110">
        <f t="shared" si="44"/>
        <v>0</v>
      </c>
      <c r="AE197" s="110">
        <f>IF(ISNUMBER(AE74),AE74*AF$24,"")</f>
        <v>0</v>
      </c>
      <c r="AF197" s="110">
        <f>IF(ISNUMBER(AF74),AF74*AD$24,"")</f>
        <v>0</v>
      </c>
      <c r="AG197" s="110">
        <f t="shared" si="45"/>
        <v>0</v>
      </c>
      <c r="AH197" s="110">
        <f t="shared" si="45"/>
        <v>0</v>
      </c>
      <c r="AI197" s="110">
        <f t="shared" si="45"/>
        <v>0</v>
      </c>
      <c r="AJ197" s="110">
        <f t="shared" si="45"/>
        <v>0</v>
      </c>
      <c r="AK197" s="110">
        <f t="shared" si="45"/>
        <v>0</v>
      </c>
    </row>
    <row r="198" spans="2:37">
      <c r="B198" s="109" t="s">
        <v>108</v>
      </c>
      <c r="C198" s="1" t="s">
        <v>129</v>
      </c>
      <c r="D198" s="110" t="s">
        <v>59</v>
      </c>
      <c r="E198" s="110"/>
      <c r="F198" s="110" t="str">
        <f t="shared" si="42"/>
        <v/>
      </c>
      <c r="G198" s="110"/>
      <c r="H198" s="110"/>
      <c r="I198" s="110"/>
      <c r="J198" s="110">
        <f t="shared" si="43"/>
        <v>0</v>
      </c>
      <c r="K198" s="110">
        <f t="shared" si="43"/>
        <v>0</v>
      </c>
      <c r="L198" s="110">
        <f t="shared" si="43"/>
        <v>0</v>
      </c>
      <c r="M198" s="110">
        <f t="shared" si="43"/>
        <v>0</v>
      </c>
      <c r="N198" s="110">
        <f t="shared" si="43"/>
        <v>0</v>
      </c>
      <c r="O198" s="110">
        <f t="shared" si="43"/>
        <v>0</v>
      </c>
      <c r="P198" s="110">
        <f t="shared" si="43"/>
        <v>0</v>
      </c>
      <c r="Q198" s="110">
        <f t="shared" si="43"/>
        <v>0</v>
      </c>
      <c r="R198" s="110">
        <f t="shared" si="43"/>
        <v>0</v>
      </c>
      <c r="S198" s="110">
        <f t="shared" si="43"/>
        <v>0</v>
      </c>
      <c r="T198" s="110">
        <f t="shared" si="43"/>
        <v>0</v>
      </c>
      <c r="U198" s="110">
        <f t="shared" si="43"/>
        <v>0</v>
      </c>
      <c r="V198" s="110">
        <f t="shared" si="43"/>
        <v>0</v>
      </c>
      <c r="W198" s="110">
        <f t="shared" si="43"/>
        <v>0</v>
      </c>
      <c r="X198" s="110">
        <f t="shared" si="43"/>
        <v>0</v>
      </c>
      <c r="Y198" s="110">
        <f t="shared" si="43"/>
        <v>0</v>
      </c>
      <c r="Z198" s="110">
        <f t="shared" si="43"/>
        <v>0</v>
      </c>
      <c r="AA198" s="110">
        <f t="shared" si="43"/>
        <v>0</v>
      </c>
      <c r="AB198" s="110">
        <f>IF(ISNUMBER(AB75),AB75*AE$24,"")</f>
        <v>0</v>
      </c>
      <c r="AC198" s="110">
        <f t="shared" si="44"/>
        <v>0</v>
      </c>
      <c r="AD198" s="110">
        <f t="shared" si="44"/>
        <v>0</v>
      </c>
      <c r="AE198" s="110">
        <f>IF(ISNUMBER(AE75),AE75*AF$24,"")</f>
        <v>0</v>
      </c>
      <c r="AF198" s="110">
        <f>IF(ISNUMBER(AF75),AF75*AD$24,"")</f>
        <v>0</v>
      </c>
      <c r="AG198" s="110">
        <f t="shared" si="45"/>
        <v>0</v>
      </c>
      <c r="AH198" s="110">
        <f t="shared" si="45"/>
        <v>0</v>
      </c>
      <c r="AI198" s="110">
        <f t="shared" si="45"/>
        <v>0</v>
      </c>
      <c r="AJ198" s="110">
        <f t="shared" si="45"/>
        <v>0</v>
      </c>
      <c r="AK198" s="110">
        <f t="shared" si="45"/>
        <v>0</v>
      </c>
    </row>
    <row r="199" spans="2:37">
      <c r="B199" s="109" t="s">
        <v>110</v>
      </c>
      <c r="C199" s="1" t="s">
        <v>109</v>
      </c>
      <c r="D199" s="110" t="s">
        <v>59</v>
      </c>
      <c r="E199" s="110"/>
      <c r="F199" s="110" t="str">
        <f t="shared" si="42"/>
        <v/>
      </c>
      <c r="G199" s="110"/>
      <c r="H199" s="110"/>
      <c r="I199" s="110"/>
      <c r="J199" s="110">
        <f t="shared" si="43"/>
        <v>0</v>
      </c>
      <c r="K199" s="110">
        <f t="shared" si="43"/>
        <v>0</v>
      </c>
      <c r="L199" s="110">
        <f t="shared" si="43"/>
        <v>0</v>
      </c>
      <c r="M199" s="110">
        <f t="shared" si="43"/>
        <v>0</v>
      </c>
      <c r="N199" s="110">
        <f t="shared" si="43"/>
        <v>0</v>
      </c>
      <c r="O199" s="110">
        <f t="shared" si="43"/>
        <v>0</v>
      </c>
      <c r="P199" s="110">
        <f t="shared" si="43"/>
        <v>0</v>
      </c>
      <c r="Q199" s="110">
        <f t="shared" si="43"/>
        <v>0</v>
      </c>
      <c r="R199" s="110">
        <f t="shared" si="43"/>
        <v>0</v>
      </c>
      <c r="S199" s="110">
        <f t="shared" si="43"/>
        <v>0</v>
      </c>
      <c r="T199" s="110">
        <f t="shared" si="43"/>
        <v>0</v>
      </c>
      <c r="U199" s="110">
        <f t="shared" si="43"/>
        <v>0</v>
      </c>
      <c r="V199" s="110">
        <f t="shared" si="43"/>
        <v>0</v>
      </c>
      <c r="W199" s="110">
        <f t="shared" si="43"/>
        <v>0</v>
      </c>
      <c r="X199" s="110">
        <f t="shared" si="43"/>
        <v>0</v>
      </c>
      <c r="Y199" s="110">
        <f t="shared" si="43"/>
        <v>0</v>
      </c>
      <c r="Z199" s="110">
        <f t="shared" si="43"/>
        <v>0</v>
      </c>
      <c r="AA199" s="110">
        <f t="shared" si="43"/>
        <v>0</v>
      </c>
      <c r="AB199" s="110">
        <f>IF(ISNUMBER(AB76),AB76*AE$24,"")</f>
        <v>0</v>
      </c>
      <c r="AC199" s="110">
        <f t="shared" si="44"/>
        <v>0</v>
      </c>
      <c r="AD199" s="110">
        <f t="shared" si="44"/>
        <v>0</v>
      </c>
      <c r="AE199" s="110">
        <f>IF(ISNUMBER(AE76),AE76*AF$24,"")</f>
        <v>0</v>
      </c>
      <c r="AF199" s="110">
        <f>IF(ISNUMBER(AF76),AF76*AD$24,"")</f>
        <v>0</v>
      </c>
      <c r="AG199" s="110">
        <f t="shared" si="45"/>
        <v>0</v>
      </c>
      <c r="AH199" s="110">
        <f t="shared" si="45"/>
        <v>0</v>
      </c>
      <c r="AI199" s="110">
        <f t="shared" si="45"/>
        <v>0</v>
      </c>
      <c r="AJ199" s="110">
        <f t="shared" si="45"/>
        <v>0</v>
      </c>
      <c r="AK199" s="110">
        <f t="shared" si="45"/>
        <v>0</v>
      </c>
    </row>
    <row r="200" spans="2:37">
      <c r="B200" s="114" t="s">
        <v>130</v>
      </c>
      <c r="D200" s="110"/>
      <c r="E200" s="110"/>
      <c r="F200" s="110" t="str">
        <f t="shared" si="42"/>
        <v/>
      </c>
      <c r="G200" s="110"/>
      <c r="H200" s="110"/>
      <c r="I200" s="110"/>
      <c r="J200" s="110" t="str">
        <f t="shared" ref="J200:AA201" si="46">IF(ISNUMBER(J71),J71*J$24,"")</f>
        <v/>
      </c>
      <c r="K200" s="110" t="str">
        <f t="shared" si="46"/>
        <v/>
      </c>
      <c r="L200" s="110" t="str">
        <f t="shared" si="46"/>
        <v/>
      </c>
      <c r="M200" s="110" t="str">
        <f t="shared" si="46"/>
        <v/>
      </c>
      <c r="N200" s="110">
        <f t="shared" si="46"/>
        <v>0</v>
      </c>
      <c r="O200" s="110">
        <f t="shared" si="46"/>
        <v>0</v>
      </c>
      <c r="P200" s="110">
        <f t="shared" si="46"/>
        <v>0</v>
      </c>
      <c r="Q200" s="110">
        <f t="shared" si="46"/>
        <v>0</v>
      </c>
      <c r="R200" s="110">
        <f t="shared" si="46"/>
        <v>0</v>
      </c>
      <c r="S200" s="110">
        <f t="shared" si="46"/>
        <v>0</v>
      </c>
      <c r="T200" s="110">
        <f t="shared" si="46"/>
        <v>0</v>
      </c>
      <c r="U200" s="110">
        <f t="shared" si="46"/>
        <v>0</v>
      </c>
      <c r="V200" s="110">
        <f t="shared" si="46"/>
        <v>0</v>
      </c>
      <c r="W200" s="110">
        <f t="shared" si="46"/>
        <v>0</v>
      </c>
      <c r="X200" s="110">
        <f t="shared" si="46"/>
        <v>0</v>
      </c>
      <c r="Y200" s="110">
        <f t="shared" si="46"/>
        <v>0</v>
      </c>
      <c r="Z200" s="110">
        <f t="shared" si="46"/>
        <v>0</v>
      </c>
      <c r="AA200" s="110">
        <f t="shared" si="46"/>
        <v>0</v>
      </c>
      <c r="AB200" s="110">
        <f>IF(ISNUMBER(AB71),AB71*AE$24,"")</f>
        <v>0</v>
      </c>
      <c r="AC200" s="110">
        <f>IF(ISNUMBER(AC71),AC71*AB$24,"")</f>
        <v>0</v>
      </c>
      <c r="AD200" s="110">
        <f>IF(ISNUMBER(AD71),AD71*AC$24,"")</f>
        <v>0</v>
      </c>
      <c r="AE200" s="110">
        <f>IF(ISNUMBER(AE71),AE71*AF$24,"")</f>
        <v>0</v>
      </c>
      <c r="AF200" s="110">
        <f>IF(ISNUMBER(AF71),AF71*AD$24,"")</f>
        <v>0</v>
      </c>
      <c r="AG200" s="110">
        <f t="shared" ref="AG200:AK201" si="47">IF(ISNUMBER(AG71),AG71*AG$24,"")</f>
        <v>0</v>
      </c>
      <c r="AH200" s="110">
        <f t="shared" si="47"/>
        <v>0</v>
      </c>
      <c r="AI200" s="110">
        <f t="shared" si="47"/>
        <v>0</v>
      </c>
      <c r="AJ200" s="110">
        <f t="shared" si="47"/>
        <v>0</v>
      </c>
      <c r="AK200" s="110">
        <f t="shared" si="47"/>
        <v>0</v>
      </c>
    </row>
    <row r="201" spans="2:37">
      <c r="B201" s="114" t="s">
        <v>131</v>
      </c>
      <c r="D201" s="110"/>
      <c r="E201" s="110"/>
      <c r="F201" s="110" t="str">
        <f t="shared" si="42"/>
        <v/>
      </c>
      <c r="G201" s="110"/>
      <c r="H201" s="110"/>
      <c r="I201" s="110"/>
      <c r="J201" s="110" t="str">
        <f t="shared" si="46"/>
        <v/>
      </c>
      <c r="K201" s="110" t="str">
        <f t="shared" si="46"/>
        <v/>
      </c>
      <c r="L201" s="110" t="str">
        <f t="shared" si="46"/>
        <v/>
      </c>
      <c r="M201" s="110" t="str">
        <f t="shared" si="46"/>
        <v/>
      </c>
      <c r="N201" s="110">
        <f t="shared" si="46"/>
        <v>0</v>
      </c>
      <c r="O201" s="110">
        <f t="shared" si="46"/>
        <v>0</v>
      </c>
      <c r="P201" s="110">
        <f t="shared" si="46"/>
        <v>0</v>
      </c>
      <c r="Q201" s="110">
        <f t="shared" si="46"/>
        <v>0</v>
      </c>
      <c r="R201" s="110">
        <f t="shared" si="46"/>
        <v>0</v>
      </c>
      <c r="S201" s="110">
        <f t="shared" si="46"/>
        <v>0</v>
      </c>
      <c r="T201" s="110">
        <f t="shared" si="46"/>
        <v>0</v>
      </c>
      <c r="U201" s="110">
        <f t="shared" si="46"/>
        <v>0</v>
      </c>
      <c r="V201" s="110">
        <f t="shared" si="46"/>
        <v>0</v>
      </c>
      <c r="W201" s="110">
        <f t="shared" si="46"/>
        <v>0</v>
      </c>
      <c r="X201" s="110">
        <f t="shared" si="46"/>
        <v>0</v>
      </c>
      <c r="Y201" s="110">
        <f t="shared" si="46"/>
        <v>0</v>
      </c>
      <c r="Z201" s="110">
        <f t="shared" si="46"/>
        <v>0</v>
      </c>
      <c r="AA201" s="110">
        <f t="shared" si="46"/>
        <v>0</v>
      </c>
      <c r="AB201" s="110">
        <f>IF(ISNUMBER(AB72),AB72*AE$24,"")</f>
        <v>0</v>
      </c>
      <c r="AC201" s="110">
        <f>IF(ISNUMBER(AC72),AC72*AB$24,"")</f>
        <v>0</v>
      </c>
      <c r="AD201" s="110">
        <f>IF(ISNUMBER(AD72),AD72*AC$24,"")</f>
        <v>0</v>
      </c>
      <c r="AE201" s="110">
        <f>IF(ISNUMBER(AE72),AE72*AF$24,"")</f>
        <v>0</v>
      </c>
      <c r="AF201" s="110">
        <f>IF(ISNUMBER(AF72),AF72*AD$24,"")</f>
        <v>0</v>
      </c>
      <c r="AG201" s="110">
        <f t="shared" si="47"/>
        <v>0</v>
      </c>
      <c r="AH201" s="110">
        <f t="shared" si="47"/>
        <v>0</v>
      </c>
      <c r="AI201" s="110">
        <f t="shared" si="47"/>
        <v>0</v>
      </c>
      <c r="AJ201" s="110">
        <f t="shared" si="47"/>
        <v>0</v>
      </c>
      <c r="AK201" s="110">
        <f t="shared" si="47"/>
        <v>0</v>
      </c>
    </row>
    <row r="202" spans="2:37">
      <c r="B202" s="109" t="s">
        <v>113</v>
      </c>
      <c r="D202" s="110"/>
      <c r="E202" s="110"/>
      <c r="F202" s="110" t="str">
        <f t="shared" si="42"/>
        <v/>
      </c>
      <c r="G202" s="110"/>
      <c r="H202" s="110"/>
      <c r="I202" s="110"/>
      <c r="J202" s="110">
        <f t="shared" ref="J202:AA202" si="48">IF(ISNUMBER(J78),J78*J$24,"")</f>
        <v>0</v>
      </c>
      <c r="K202" s="110">
        <f t="shared" si="48"/>
        <v>0</v>
      </c>
      <c r="L202" s="110">
        <f t="shared" si="48"/>
        <v>0</v>
      </c>
      <c r="M202" s="110">
        <f t="shared" si="48"/>
        <v>0</v>
      </c>
      <c r="N202" s="110">
        <f t="shared" si="48"/>
        <v>0</v>
      </c>
      <c r="O202" s="110">
        <f t="shared" si="48"/>
        <v>0</v>
      </c>
      <c r="P202" s="110">
        <f t="shared" si="48"/>
        <v>0</v>
      </c>
      <c r="Q202" s="110">
        <f t="shared" si="48"/>
        <v>0</v>
      </c>
      <c r="R202" s="110">
        <f t="shared" si="48"/>
        <v>0</v>
      </c>
      <c r="S202" s="110">
        <f t="shared" si="48"/>
        <v>0</v>
      </c>
      <c r="T202" s="110">
        <f t="shared" si="48"/>
        <v>0</v>
      </c>
      <c r="U202" s="110">
        <f t="shared" si="48"/>
        <v>0</v>
      </c>
      <c r="V202" s="110">
        <f t="shared" si="48"/>
        <v>0</v>
      </c>
      <c r="W202" s="110">
        <f t="shared" si="48"/>
        <v>0</v>
      </c>
      <c r="X202" s="110">
        <f t="shared" si="48"/>
        <v>0</v>
      </c>
      <c r="Y202" s="110">
        <f t="shared" si="48"/>
        <v>0</v>
      </c>
      <c r="Z202" s="110">
        <f t="shared" si="48"/>
        <v>0</v>
      </c>
      <c r="AA202" s="110">
        <f t="shared" si="48"/>
        <v>0</v>
      </c>
      <c r="AB202" s="110">
        <f>IF(ISNUMBER(AB78),AB78*AE$24,"")</f>
        <v>0</v>
      </c>
      <c r="AC202" s="110">
        <f>IF(ISNUMBER(AC78),AC78*AB$24,"")</f>
        <v>0</v>
      </c>
      <c r="AD202" s="110">
        <f>IF(ISNUMBER(AD78),AD78*AC$24,"")</f>
        <v>0</v>
      </c>
      <c r="AE202" s="110">
        <f>IF(ISNUMBER(AE78),AE78*AF$24,"")</f>
        <v>0</v>
      </c>
      <c r="AF202" s="110">
        <f>IF(ISNUMBER(AF78),AF78*AD$24,"")</f>
        <v>0</v>
      </c>
      <c r="AG202" s="110">
        <f>IF(ISNUMBER(AG78),AG78*AG$24,"")</f>
        <v>0</v>
      </c>
      <c r="AH202" s="110">
        <f>IF(ISNUMBER(AH78),AH78*AH$24,"")</f>
        <v>0</v>
      </c>
      <c r="AI202" s="110">
        <f>IF(ISNUMBER(AI78),AI78*AI$24,"")</f>
        <v>0</v>
      </c>
      <c r="AJ202" s="110">
        <f>IF(ISNUMBER(AJ78),AJ78*AJ$24,"")</f>
        <v>0</v>
      </c>
      <c r="AK202" s="110">
        <f>IF(ISNUMBER(AK78),AK78*AK$24,"")</f>
        <v>0</v>
      </c>
    </row>
    <row r="206" spans="2:37">
      <c r="B206" s="1" t="s">
        <v>132</v>
      </c>
    </row>
    <row r="207" spans="2:37" ht="10.8" collapsed="1" thickBot="1"/>
    <row r="208" spans="2:37" ht="13.2">
      <c r="B208" s="119" t="s">
        <v>133</v>
      </c>
      <c r="C208" s="120"/>
    </row>
    <row r="209" spans="2:3" ht="13.2">
      <c r="B209" s="121">
        <v>0.65400000000000003</v>
      </c>
      <c r="C209" s="122">
        <v>6.2949999999999999</v>
      </c>
    </row>
    <row r="210" spans="2:3" ht="13.2">
      <c r="B210" s="121">
        <v>0.69699999999999995</v>
      </c>
      <c r="C210" s="122">
        <v>6.2949999999999999</v>
      </c>
    </row>
    <row r="211" spans="2:3" ht="13.2">
      <c r="B211" s="121">
        <v>0.69799999999999995</v>
      </c>
      <c r="C211" s="122">
        <v>6.2939999999999996</v>
      </c>
    </row>
    <row r="212" spans="2:3" ht="13.2">
      <c r="B212" s="121">
        <v>0.77800000000000002</v>
      </c>
      <c r="C212" s="122">
        <v>6.2939999999999996</v>
      </c>
    </row>
    <row r="213" spans="2:3" ht="13.2">
      <c r="B213" s="121">
        <v>0.77900000000000003</v>
      </c>
      <c r="C213" s="122">
        <v>6.2930000000000001</v>
      </c>
    </row>
    <row r="214" spans="2:3" ht="13.2">
      <c r="B214" s="121">
        <v>0.90100000000000002</v>
      </c>
      <c r="C214" s="122">
        <v>6.2930000000000001</v>
      </c>
    </row>
    <row r="215" spans="2:3" ht="13.2">
      <c r="B215" s="121">
        <v>0.90200000000000002</v>
      </c>
      <c r="C215" s="122">
        <v>6.2919999999999998</v>
      </c>
    </row>
    <row r="216" spans="2:3" ht="13.2">
      <c r="B216" s="121">
        <v>1.0740000000000001</v>
      </c>
      <c r="C216" s="122">
        <v>6.2919999999999998</v>
      </c>
    </row>
    <row r="217" spans="2:3" ht="13.2">
      <c r="B217" s="121"/>
      <c r="C217" s="122"/>
    </row>
    <row r="218" spans="2:3" ht="13.2">
      <c r="B218" s="121"/>
      <c r="C218" s="122"/>
    </row>
    <row r="219" spans="2:3" ht="13.2">
      <c r="B219" s="121"/>
      <c r="C219" s="122"/>
    </row>
    <row r="220" spans="2:3" ht="13.2">
      <c r="B220" s="121"/>
      <c r="C220" s="122"/>
    </row>
    <row r="221" spans="2:3" ht="13.2">
      <c r="B221" s="121"/>
      <c r="C221" s="122"/>
    </row>
    <row r="222" spans="2:3" ht="13.2">
      <c r="B222" s="121"/>
      <c r="C222" s="122"/>
    </row>
    <row r="223" spans="2:3" ht="13.2">
      <c r="B223" s="121"/>
      <c r="C223" s="122"/>
    </row>
    <row r="224" spans="2:3" ht="13.8" thickBot="1">
      <c r="B224" s="123"/>
      <c r="C224" s="124"/>
    </row>
  </sheetData>
  <sheetProtection formatCells="0" formatColumns="0" formatRows="0" insertColumns="0" insertRows="0" insertHyperlinks="0" deleteColumns="0" deleteRows="0" sort="0" autoFilter="0"/>
  <dataConsolidate function="var">
    <dataRefs count="1">
      <dataRef ref="F19:G19" sheet="==HB-Calc" r:id="rId1"/>
    </dataRefs>
  </dataConsolidate>
  <conditionalFormatting sqref="F28 J28:R28 T28:AK28">
    <cfRule type="cellIs" dxfId="24" priority="19" operator="greaterThan">
      <formula>0.991</formula>
    </cfRule>
  </conditionalFormatting>
  <conditionalFormatting sqref="F29 N29:R32 O33:R42 T29:AK42">
    <cfRule type="cellIs" dxfId="23" priority="13" operator="greaterThan">
      <formula>380</formula>
    </cfRule>
  </conditionalFormatting>
  <conditionalFormatting sqref="F31 J31:R31 T31:AK31">
    <cfRule type="cellIs" dxfId="22" priority="18" operator="lessThan">
      <formula>0.48</formula>
    </cfRule>
  </conditionalFormatting>
  <conditionalFormatting sqref="F32 J32:R32 T32:AK32">
    <cfRule type="cellIs" dxfId="21" priority="17" operator="lessThan">
      <formula>60</formula>
    </cfRule>
  </conditionalFormatting>
  <conditionalFormatting sqref="F33 O33:R33 F48 T33:AK33">
    <cfRule type="cellIs" dxfId="20" priority="16" operator="greaterThan">
      <formula>30</formula>
    </cfRule>
  </conditionalFormatting>
  <conditionalFormatting sqref="F47">
    <cfRule type="cellIs" dxfId="19" priority="15" operator="greaterThan">
      <formula>15</formula>
    </cfRule>
  </conditionalFormatting>
  <conditionalFormatting sqref="F55">
    <cfRule type="cellIs" dxfId="18" priority="14" operator="greaterThan">
      <formula>0.1</formula>
    </cfRule>
  </conditionalFormatting>
  <conditionalFormatting sqref="F84">
    <cfRule type="cellIs" dxfId="17" priority="24" operator="lessThan">
      <formula>0.48</formula>
    </cfRule>
  </conditionalFormatting>
  <conditionalFormatting sqref="F85">
    <cfRule type="cellIs" dxfId="16" priority="23" operator="lessThan">
      <formula>60</formula>
    </cfRule>
  </conditionalFormatting>
  <conditionalFormatting sqref="F86">
    <cfRule type="cellIs" dxfId="15" priority="22" operator="greaterThan">
      <formula>30</formula>
    </cfRule>
  </conditionalFormatting>
  <conditionalFormatting sqref="F89">
    <cfRule type="cellIs" dxfId="14" priority="21" operator="greaterThan">
      <formula>30</formula>
    </cfRule>
  </conditionalFormatting>
  <conditionalFormatting sqref="F30:R31 F83:F84 T30:AK31">
    <cfRule type="cellIs" dxfId="13" priority="25" operator="greaterThan">
      <formula>0.5</formula>
    </cfRule>
  </conditionalFormatting>
  <conditionalFormatting sqref="F58:R58 F90:F91 T58:AK58">
    <cfRule type="cellIs" dxfId="12" priority="20" operator="greaterThan">
      <formula>60</formula>
    </cfRule>
  </conditionalFormatting>
  <conditionalFormatting sqref="J29 L29">
    <cfRule type="cellIs" dxfId="11" priority="10" operator="lessThan">
      <formula>30</formula>
    </cfRule>
    <cfRule type="cellIs" dxfId="10" priority="11" operator="greaterThan">
      <formula>380</formula>
    </cfRule>
  </conditionalFormatting>
  <conditionalFormatting sqref="J33:M33">
    <cfRule type="cellIs" dxfId="9" priority="12" operator="greaterThan">
      <formula>30</formula>
    </cfRule>
  </conditionalFormatting>
  <conditionalFormatting sqref="K29:K42">
    <cfRule type="cellIs" dxfId="8" priority="9" operator="greaterThan">
      <formula>380</formula>
    </cfRule>
  </conditionalFormatting>
  <conditionalFormatting sqref="M29:M42">
    <cfRule type="cellIs" dxfId="7" priority="8" operator="greaterThan">
      <formula>380</formula>
    </cfRule>
  </conditionalFormatting>
  <conditionalFormatting sqref="S28">
    <cfRule type="cellIs" dxfId="6" priority="5" operator="greaterThan">
      <formula>0.991</formula>
    </cfRule>
  </conditionalFormatting>
  <conditionalFormatting sqref="S29:S42">
    <cfRule type="cellIs" dxfId="5" priority="1" operator="greaterThan">
      <formula>380</formula>
    </cfRule>
  </conditionalFormatting>
  <conditionalFormatting sqref="S31">
    <cfRule type="cellIs" dxfId="4" priority="4" operator="lessThan">
      <formula>0.48</formula>
    </cfRule>
  </conditionalFormatting>
  <conditionalFormatting sqref="S32">
    <cfRule type="cellIs" dxfId="3" priority="3" operator="lessThan">
      <formula>60</formula>
    </cfRule>
  </conditionalFormatting>
  <conditionalFormatting sqref="S33">
    <cfRule type="cellIs" dxfId="2" priority="2" operator="greaterThan">
      <formula>30</formula>
    </cfRule>
  </conditionalFormatting>
  <conditionalFormatting sqref="S30:S31">
    <cfRule type="cellIs" dxfId="1" priority="7" operator="greaterThan">
      <formula>0.5</formula>
    </cfRule>
  </conditionalFormatting>
  <conditionalFormatting sqref="S58">
    <cfRule type="cellIs" dxfId="0" priority="6" operator="greaterThan">
      <formula>60</formula>
    </cfRule>
  </conditionalFormatting>
  <dataValidations disablePrompts="1" count="1">
    <dataValidation type="list" allowBlank="1" showInputMessage="1" showErrorMessage="1" sqref="I27" xr:uid="{12A2F166-3298-45CB-B3CA-0620A5235867}">
      <formula1>$G$27:$H$27</formula1>
    </dataValidation>
  </dataValidations>
  <printOptions horizontalCentered="1"/>
  <pageMargins left="0.23622047244094491" right="0.23622047244094491" top="0.27559055118110237" bottom="0.23622047244094491" header="7.874015748031496E-2" footer="7.874015748031496E-2"/>
  <pageSetup paperSize="9" scale="90" fitToHeight="0" orientation="landscape" verticalDpi="300" r:id="rId2"/>
  <headerFooter alignWithMargins="0">
    <oddHeader>&amp;R&amp;F</oddHeader>
    <oddFooter>&amp;L&amp;A   page &amp;P of &amp;N&amp;R&amp;D 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fb709c-3cc3-4e95-8c32-2534f3d924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B0517792B5D488D809A1D9FA08312" ma:contentTypeVersion="8" ma:contentTypeDescription="Create a new document." ma:contentTypeScope="" ma:versionID="24227db0e38070201bab5c187bb437ca">
  <xsd:schema xmlns:xsd="http://www.w3.org/2001/XMLSchema" xmlns:xs="http://www.w3.org/2001/XMLSchema" xmlns:p="http://schemas.microsoft.com/office/2006/metadata/properties" xmlns:ns3="38fb709c-3cc3-4e95-8c32-2534f3d924d7" targetNamespace="http://schemas.microsoft.com/office/2006/metadata/properties" ma:root="true" ma:fieldsID="4be6691641b48be25bf20f26016e3e85" ns3:_="">
    <xsd:import namespace="38fb709c-3cc3-4e95-8c32-2534f3d92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b709c-3cc3-4e95-8c32-2534f3d92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832A8-4B91-4100-941C-1BEC83C04B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2C584-E5BA-4DDA-B2BF-D29D85E3BFF7}">
  <ds:schemaRefs>
    <ds:schemaRef ds:uri="http://purl.org/dc/dcmitype/"/>
    <ds:schemaRef ds:uri="http://schemas.microsoft.com/office/infopath/2007/PartnerControls"/>
    <ds:schemaRef ds:uri="38fb709c-3cc3-4e95-8c32-2534f3d924d7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806DB41-4D03-4DAD-837C-A4A03CFAF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b709c-3cc3-4e95-8c32-2534f3d92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BLEND CALCULATION</vt:lpstr>
      <vt:lpstr>'BLEND CALCULATION'!Print_Area</vt:lpstr>
      <vt:lpstr>'BLEND CALCULATION'!Print_Titles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Aliyev</dc:creator>
  <cp:lastModifiedBy>Orkhan Mamedaliyev</cp:lastModifiedBy>
  <dcterms:created xsi:type="dcterms:W3CDTF">2026-02-07T19:58:56Z</dcterms:created>
  <dcterms:modified xsi:type="dcterms:W3CDTF">2026-02-22T18:22:35Z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0x010100B21B0517792B5D488D809A1D9FA08312</vt:lpwstr>
  </property>
</Properties>
</file>